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rnel times" sheetId="2" state="visible" r:id="rId2"/>
    <sheet xmlns:r="http://schemas.openxmlformats.org/officeDocument/2006/relationships" name="Like-for-like" sheetId="3" state="visible" r:id="rId3"/>
    <sheet xmlns:r="http://schemas.openxmlformats.org/officeDocument/2006/relationships" name="Plan sweep" sheetId="4" state="visible" r:id="rId4"/>
    <sheet xmlns:r="http://schemas.openxmlformats.org/officeDocument/2006/relationships" name="Interpreter phases" sheetId="5" state="visible" r:id="rId5"/>
    <sheet xmlns:r="http://schemas.openxmlformats.org/officeDocument/2006/relationships" name="Coverage" sheetId="6" state="visible" r:id="rId6"/>
    <sheet xmlns:r="http://schemas.openxmlformats.org/officeDocument/2006/relationships" name="Lead-lag analysis" sheetId="7" state="visible" r:id="rId7"/>
    <sheet xmlns:r="http://schemas.openxmlformats.org/officeDocument/2006/relationships" name="Improvement roadmap" sheetId="8" state="visible" r:id="rId8"/>
    <sheet xmlns:r="http://schemas.openxmlformats.org/officeDocument/2006/relationships" name="Method" sheetId="9" state="visible" r:id="rId9"/>
    <sheet xmlns:r="http://schemas.openxmlformats.org/officeDocument/2006/relationships" name="Raw results" sheetId="10" state="visible" r:id="rId10"/>
  </sheets>
  <definedNames>
    <definedName name="_xlnm._FilterDatabase" localSheetId="1" hidden="1">'Kernel times'!$A$4:$AB$130</definedName>
    <definedName name="_xlnm._FilterDatabase" localSheetId="9" hidden="1">'Raw results'!$A$3:$Z$129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0&quot;x&quot;"/>
    <numFmt numFmtId="166" formatCode="#,##0&quot;x&quot;"/>
    <numFmt numFmtId="167" formatCode="#,##0.0;(#,##0.0);&quot;-&quot;"/>
    <numFmt numFmtId="168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1F3A5F"/>
      <sz val="12"/>
    </font>
    <font>
      <name val="Arial"/>
      <sz val="10"/>
    </font>
    <font>
      <name val="Arial"/>
      <b val="1"/>
      <color rgb="001F3A5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167" fontId="4" fillId="0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7" fontId="5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8" fontId="4" fillId="0" borderId="1" applyAlignment="1" pivotButton="0" quotePrefix="0" xfId="0">
      <alignment vertical="top"/>
    </xf>
    <xf numFmtId="1" fontId="6" fillId="0" borderId="1" applyAlignment="1" pivotButton="0" quotePrefix="0" xfId="0">
      <alignment vertical="top"/>
    </xf>
    <xf numFmtId="0" fontId="9" fillId="0" borderId="0" pivotButton="0" quotePrefix="0" xfId="0"/>
    <xf numFmtId="0" fontId="3" fillId="2" borderId="1" pivotButton="0" quotePrefix="0" xfId="0"/>
    <xf numFmtId="1" fontId="5" fillId="0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70" customWidth="1" min="3" max="3"/>
  </cols>
  <sheetData>
    <row r="1">
      <c r="A1" s="1" t="inlineStr">
        <is>
          <t>Beryl (Axiom) vs C and Rust: full benchmark analysis</t>
        </is>
      </c>
    </row>
    <row r="2">
      <c r="A2" s="2" t="inlineStr">
        <is>
          <t>Run 20261019T005748Z-73191bf on feat/bench-native @ 73191bf; Windows-11-10.0.26200-SP0; 8 logical CPUs</t>
        </is>
      </c>
    </row>
    <row r="4" ht="32" customHeight="1">
      <c r="A4" s="3" t="inlineStr">
        <is>
          <t>Headline measure</t>
        </is>
      </c>
      <c r="B4" s="3" t="inlineStr">
        <is>
          <t>Value</t>
        </is>
      </c>
      <c r="C4" s="3" t="inlineStr">
        <is>
          <t>How it is computed</t>
        </is>
      </c>
    </row>
    <row r="5">
      <c r="A5" s="4" t="inlineStr">
        <is>
          <t>Cases measured (all implementations)</t>
        </is>
      </c>
      <c r="B5" s="5" t="n">
        <v>579</v>
      </c>
      <c r="C5" s="6" t="inlineStr">
        <is>
          <t>Result records in the benchmark log</t>
        </is>
      </c>
    </row>
    <row r="6">
      <c r="A6" s="4" t="inlineStr">
        <is>
          <t>Output mismatches against the reference</t>
        </is>
      </c>
      <c r="B6" s="5" t="n">
        <v>0</v>
      </c>
      <c r="C6" s="6" t="inlineStr">
        <is>
          <t>Any non-zero value would fail the run</t>
        </is>
      </c>
    </row>
    <row r="7">
      <c r="A7" s="4" t="inlineStr">
        <is>
          <t>Beryl native vs C, geometric mean</t>
        </is>
      </c>
      <c r="B7" s="7">
        <f>GEOMEAN('Kernel times'!$L$5:$L$130)</f>
        <v/>
      </c>
      <c r="C7" s="6" t="inlineStr">
        <is>
          <t>Geomean of Native/C over every case both ran (lower = Beryl faster)</t>
        </is>
      </c>
    </row>
    <row r="8">
      <c r="A8" s="4" t="inlineStr">
        <is>
          <t>Beryl native vs Rust, geometric mean</t>
        </is>
      </c>
      <c r="B8" s="7">
        <f>GEOMEAN('Kernel times'!$M$5:$M$130)</f>
        <v/>
      </c>
      <c r="C8" s="6" t="inlineStr">
        <is>
          <t>Geomean of Native/Rust over every case both ran</t>
        </is>
      </c>
    </row>
    <row r="9">
      <c r="A9" s="4" t="inlineStr">
        <is>
          <t>Rust vs C, geometric mean (all kernels)</t>
        </is>
      </c>
      <c r="B9" s="7">
        <f>GEOMEAN('Kernel times'!$N$5:$N$130)</f>
        <v/>
      </c>
      <c r="C9" s="6" t="inlineStr">
        <is>
          <t>Context: the two baselines against each other</t>
        </is>
      </c>
    </row>
    <row r="10">
      <c r="A10" s="4" t="inlineStr">
        <is>
          <t>Cases where Beryl native leads C</t>
        </is>
      </c>
      <c r="B10" s="8">
        <f>COUNTIF('Kernel times'!$P$5:$P$130,"Lead")</f>
        <v/>
      </c>
      <c r="C10" s="6" t="inlineStr">
        <is>
          <t>Native/C below 0.95x</t>
        </is>
      </c>
    </row>
    <row r="11">
      <c r="A11" s="4" t="inlineStr">
        <is>
          <t>Cases at parity with C</t>
        </is>
      </c>
      <c r="B11" s="8">
        <f>COUNTIF('Kernel times'!$P$5:$P$130,"Parity")</f>
        <v/>
      </c>
      <c r="C11" s="6" t="inlineStr">
        <is>
          <t>Native/C within 0.95x-1.05x</t>
        </is>
      </c>
    </row>
    <row r="12">
      <c r="A12" s="4" t="inlineStr">
        <is>
          <t>Cases where Beryl native lags C</t>
        </is>
      </c>
      <c r="B12" s="8">
        <f>COUNTIF('Kernel times'!$P$5:$P$130,"Lag")</f>
        <v/>
      </c>
      <c r="C12" s="6" t="inlineStr">
        <is>
          <t>Native/C above 1.05x</t>
        </is>
      </c>
    </row>
    <row r="13">
      <c r="A13" s="4" t="inlineStr">
        <is>
          <t>Best native lead vs C (lowest ratio)</t>
        </is>
      </c>
      <c r="B13" s="7">
        <f>MIN('Kernel times'!$L$5:$L$130)</f>
        <v/>
      </c>
      <c r="C13" s="6" t="inlineStr">
        <is>
          <t>conv3x3, rows-v1 plan</t>
        </is>
      </c>
    </row>
    <row r="14">
      <c r="A14" s="4" t="inlineStr">
        <is>
          <t>Worst native result vs C (highest ratio)</t>
        </is>
      </c>
      <c r="B14" s="7">
        <f>MAX('Kernel times'!$L$5:$L$130)</f>
        <v/>
      </c>
      <c r="C14" s="6" t="inlineStr">
        <is>
          <t>polymap, fully unrolled finite code</t>
        </is>
      </c>
    </row>
    <row r="15">
      <c r="A15" s="4" t="inlineStr">
        <is>
          <t>Beryl interpreter vs C, geometric mean</t>
        </is>
      </c>
      <c r="B15" s="9">
        <f>GEOMEAN('Kernel times'!$O$5:$O$130)</f>
        <v/>
      </c>
      <c r="C15" s="6" t="inlineStr">
        <is>
          <t>Checked Python interpreter path: proves every plan per request</t>
        </is>
      </c>
    </row>
    <row r="16">
      <c r="A16" s="4" t="inlineStr">
        <is>
          <t>Kernel/size combinations Beryl accepts (of 42)</t>
        </is>
      </c>
      <c r="B16" s="8">
        <f>COUNTIFS('Kernel times'!$C$5:$C$130,"*",'Kernel times'!$S$5:$S$130,"ok",'Kernel times'!$D$5:$D$130,"hash")</f>
        <v/>
      </c>
      <c r="C16" s="6" t="inlineStr">
        <is>
          <t>hash-pattern rows where the interpreter returned ok (14 kernels x 3 sizes)</t>
        </is>
      </c>
    </row>
    <row r="17">
      <c r="A17" s="4" t="inlineStr">
        <is>
          <t>Median cold native compile, ms</t>
        </is>
      </c>
      <c r="B17" s="10">
        <f>MEDIAN('Kernel times'!$W$5:$W$130)</f>
        <v/>
      </c>
      <c r="C17" s="6" t="inlineStr">
        <is>
          <t>Axiom check+emit + C compile + link for one fresh program</t>
        </is>
      </c>
    </row>
    <row r="18">
      <c r="A18" s="4" t="inlineStr">
        <is>
          <t>Median Axiom check+emit share, ms</t>
        </is>
      </c>
      <c r="B18" s="10">
        <f>MEDIAN('Kernel times'!$X$5:$X$130)</f>
        <v/>
      </c>
      <c r="C18" s="6" t="inlineStr">
        <is>
          <t>Fresh admission, ranked checked selection, C emission</t>
        </is>
      </c>
    </row>
    <row r="19">
      <c r="A19" s="4" t="inlineStr">
        <is>
          <t>Native runs blocked by Windows Application Control</t>
        </is>
      </c>
      <c r="B19" s="5" t="n">
        <v>6</v>
      </c>
      <c r="C19" s="6" t="inlineStr">
        <is>
          <t>Logged as blocked, never bypassed (see Method)</t>
        </is>
      </c>
    </row>
    <row r="20">
      <c r="A20" s="4" t="inlineStr">
        <is>
          <t>Bad-input rejection, ms</t>
        </is>
      </c>
      <c r="B20" s="11" t="n">
        <v>0.89</v>
      </c>
      <c r="C20" s="6" t="inlineStr">
        <is>
          <t>Out-of-range input refused before planning, via playground_service</t>
        </is>
      </c>
    </row>
    <row r="22">
      <c r="A22" s="12" t="inlineStr">
        <is>
          <t>Key findings</t>
        </is>
      </c>
    </row>
    <row r="23" ht="44" customHeight="1">
      <c r="A23" s="13" t="inlineStr">
        <is>
          <t>Where Beryl leads: on all five of its stencil kernels, generated native code is at or below C, and well below Rust. conv3x3 is about 4.8x faster than C because the planner chose a rolling 3-row schedule (row sums reused).</t>
        </is>
      </c>
    </row>
    <row r="24" ht="44" customHeight="1">
      <c r="A24" s="13" t="inlineStr">
        <is>
          <t>Like-for-like: against hand-written C with the same ABI, shape, int32 types, harness and flags, the no-scratch plan is about 0.9x (parity, slightly faster) and the row-reuse plan about 0.5x (2x faster) because it does 256 instead of 900 multiplications.</t>
        </is>
      </c>
    </row>
    <row r="25" ht="44" customHeight="1">
      <c r="A25" s="13" t="inlineStr">
        <is>
          <t>Where Beryl lags: polymap is about 1.2x slower than C. Its generated code is fully unrolled straight-line C (about 3,400 statements) plus a 256-cell range check per call, while the C baseline is a short vectorizable loop.</t>
        </is>
      </c>
    </row>
    <row r="26" ht="44" customHeight="1">
      <c r="A26" s="13" t="inlineStr">
        <is>
          <t>Where Beryl lacks: it accepts 6 of 42 kernel/size combinations. Every medium and large case is blocked by the 256-cell limit, and 8 kernels need language features it does not have (reductions, scans, scatter, conditionals, max, permuted reads).</t>
        </is>
      </c>
    </row>
    <row r="27" ht="44" customHeight="1">
      <c r="A27" s="13" t="inlineStr">
        <is>
          <t>The interpreter is not a speed path: it re-proves every plan on each request, about 5 orders of magnitude slower than C. It exists so every playground result is independently checked.</t>
        </is>
      </c>
    </row>
    <row r="28" ht="44" customHeight="1">
      <c r="A28" s="13" t="inlineStr">
        <is>
          <t>Caveat: shape-specialized generated kernels with int32 outputs are compared with runtime-sized C/Rust baselines that store int64 outputs; the hand-C control (sq2x2) separates that effect. Single machine, small sizes, call overhead dominates.</t>
        </is>
      </c>
    </row>
    <row r="30">
      <c r="A30" s="12" t="inlineStr">
        <is>
          <t>Sheets</t>
        </is>
      </c>
    </row>
    <row r="31">
      <c r="A31" s="14" t="inlineStr">
        <is>
          <t>Kernel times</t>
        </is>
      </c>
      <c r="B31" s="14" t="inlineStr"/>
      <c r="C31" s="6" t="inlineStr">
        <is>
          <t>Every kernel x size x pattern, all four implementations, ratios and verdicts (filterable)</t>
        </is>
      </c>
    </row>
    <row r="32">
      <c r="A32" s="14" t="inlineStr">
        <is>
          <t>Like-for-like</t>
        </is>
      </c>
      <c r="B32" s="14" t="inlineStr"/>
      <c r="C32" s="6" t="inlineStr">
        <is>
          <t>Beryl native vs hand-written C with identical terms, across storage caps</t>
        </is>
      </c>
    </row>
    <row r="33">
      <c r="A33" s="14" t="inlineStr">
        <is>
          <t>Plan sweep</t>
        </is>
      </c>
      <c r="B33" s="14" t="inlineStr"/>
      <c r="C33" s="6" t="inlineStr">
        <is>
          <t>Same program under different storage caps and objectives: plan, work, time</t>
        </is>
      </c>
    </row>
    <row r="34">
      <c r="A34" s="14" t="inlineStr">
        <is>
          <t>Interpreter phases</t>
        </is>
      </c>
      <c r="B34" s="14" t="inlineStr"/>
      <c r="C34" s="6" t="inlineStr">
        <is>
          <t>Where the checked interpreter spends its time</t>
        </is>
      </c>
    </row>
    <row r="35">
      <c r="A35" s="14" t="inlineStr">
        <is>
          <t>Coverage</t>
        </is>
      </c>
      <c r="B35" s="14" t="inlineStr"/>
      <c r="C35" s="6" t="inlineStr">
        <is>
          <t>What Beryl accepts, per kernel and size, and the missing features ranked</t>
        </is>
      </c>
    </row>
    <row r="36">
      <c r="A36" s="14" t="inlineStr">
        <is>
          <t>Lead-lag analysis</t>
        </is>
      </c>
      <c r="B36" s="14" t="inlineStr"/>
      <c r="C36" s="6" t="inlineStr">
        <is>
          <t>Per kernel: where we lead or lag, why, confidence, and what would change it</t>
        </is>
      </c>
    </row>
    <row r="37">
      <c r="A37" s="14" t="inlineStr">
        <is>
          <t>Improvement roadmap</t>
        </is>
      </c>
      <c r="B37" s="14" t="inlineStr"/>
      <c r="C37" s="6" t="inlineStr">
        <is>
          <t>Prioritized improvements tied to the evidence</t>
        </is>
      </c>
    </row>
    <row r="38">
      <c r="A38" s="14" t="inlineStr">
        <is>
          <t>Method</t>
        </is>
      </c>
      <c r="B38" s="14" t="inlineStr"/>
      <c r="C38" s="6" t="inlineStr">
        <is>
          <t>Environment, toolchains, protocol, verification and caveats</t>
        </is>
      </c>
    </row>
    <row r="39">
      <c r="A39" s="14" t="inlineStr">
        <is>
          <t>Raw results</t>
        </is>
      </c>
      <c r="B39" s="14" t="inlineStr"/>
      <c r="C39" s="6" t="inlineStr">
        <is>
          <t>Flattened analysis rows for further analysis</t>
        </is>
      </c>
    </row>
  </sheetData>
  <mergeCells count="6">
    <mergeCell ref="A25:C25"/>
    <mergeCell ref="A28:C28"/>
    <mergeCell ref="A23:C23"/>
    <mergeCell ref="A27:C27"/>
    <mergeCell ref="A26:C26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8" customWidth="1" min="4" max="4"/>
    <col width="11" customWidth="1" min="5" max="5"/>
    <col width="8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2" customWidth="1" min="17" max="17"/>
    <col width="12" customWidth="1" min="18" max="18"/>
    <col width="13" customWidth="1" min="19" max="19"/>
    <col width="8" customWidth="1" min="20" max="20"/>
    <col width="9" customWidth="1" min="21" max="21"/>
    <col width="10" customWidth="1" min="22" max="22"/>
    <col width="10" customWidth="1" min="23" max="23"/>
    <col width="9" customWidth="1" min="24" max="24"/>
    <col width="8" customWidth="1" min="25" max="25"/>
    <col width="11" customWidth="1" min="26" max="26"/>
    <col width="34" customWidth="1" min="27" max="27"/>
    <col width="9" customWidth="1" min="28" max="28"/>
  </cols>
  <sheetData>
    <row r="1">
      <c r="A1" s="1" t="inlineStr">
        <is>
          <t>Median time per call (ns) for every kernel, size and input pattern</t>
        </is>
      </c>
    </row>
    <row r="2">
      <c r="A2" s="2" t="inlineStr">
        <is>
          <t>Blue = measured inputs from the benchmark log; black = Excel formulas. Ratios below 1.00x mean the first-named runs faster.</t>
        </is>
      </c>
    </row>
    <row r="4" ht="32" customHeight="1">
      <c r="A4" s="3" t="inlineStr">
        <is>
          <t>Kernel</t>
        </is>
      </c>
      <c r="B4" s="3" t="inlineStr">
        <is>
          <t>Family</t>
        </is>
      </c>
      <c r="C4" s="3" t="inlineStr">
        <is>
          <t>Size</t>
        </is>
      </c>
      <c r="D4" s="3" t="inlineStr">
        <is>
          <t>Pattern</t>
        </is>
      </c>
      <c r="E4" s="3" t="inlineStr">
        <is>
          <t>Params (a,b)</t>
        </is>
      </c>
      <c r="F4" s="3" t="inlineStr">
        <is>
          <t>Outputs</t>
        </is>
      </c>
      <c r="G4" s="3" t="inlineStr">
        <is>
          <t>C ns</t>
        </is>
      </c>
      <c r="H4" s="3" t="inlineStr">
        <is>
          <t>Rust ns</t>
        </is>
      </c>
      <c r="I4" s="3" t="inlineStr">
        <is>
          <t>Beryl native ns</t>
        </is>
      </c>
      <c r="J4" s="3" t="inlineStr">
        <is>
          <t>Beryl interpreter ns</t>
        </is>
      </c>
      <c r="K4" s="3" t="inlineStr">
        <is>
          <t>Hand C ns (same terms)</t>
        </is>
      </c>
      <c r="L4" s="3" t="inlineStr">
        <is>
          <t>Native / C</t>
        </is>
      </c>
      <c r="M4" s="3" t="inlineStr">
        <is>
          <t>Native / Rust</t>
        </is>
      </c>
      <c r="N4" s="3" t="inlineStr">
        <is>
          <t>Rust / C</t>
        </is>
      </c>
      <c r="O4" s="3" t="inlineStr">
        <is>
          <t>Interpreter / C</t>
        </is>
      </c>
      <c r="P4" s="3" t="inlineStr">
        <is>
          <t>Verdict vs C</t>
        </is>
      </c>
      <c r="Q4" s="3" t="inlineStr">
        <is>
          <t>Verdict vs Rust</t>
        </is>
      </c>
      <c r="R4" s="3" t="inlineStr">
        <is>
          <t>Native status</t>
        </is>
      </c>
      <c r="S4" s="3" t="inlineStr">
        <is>
          <t>Interpreter status</t>
        </is>
      </c>
      <c r="T4" s="3" t="inlineStr">
        <is>
          <t>Plan</t>
        </is>
      </c>
      <c r="U4" s="3" t="inlineStr">
        <is>
          <t>Mults</t>
        </is>
      </c>
      <c r="V4" s="3" t="inlineStr">
        <is>
          <t>Scratch B</t>
        </is>
      </c>
      <c r="W4" s="3" t="inlineStr">
        <is>
          <t>Compile ms</t>
        </is>
      </c>
      <c r="X4" s="3" t="inlineStr">
        <is>
          <t>Check+emit ms</t>
        </is>
      </c>
      <c r="Y4" s="3" t="inlineStr">
        <is>
          <t>cc ms</t>
        </is>
      </c>
      <c r="Z4" s="3" t="inlineStr">
        <is>
          <t>Interp. pipeline ms</t>
        </is>
      </c>
      <c r="AA4" s="3" t="inlineStr">
        <is>
          <t>Axiom diagnostic / missing</t>
        </is>
      </c>
      <c r="AB4" s="3" t="inlineStr">
        <is>
          <t>Verified</t>
        </is>
      </c>
    </row>
    <row r="5">
      <c r="A5" s="14" t="inlineStr">
        <is>
          <t>sq2x2</t>
        </is>
      </c>
      <c r="B5" s="14" t="inlineStr">
        <is>
          <t>stencil-2d</t>
        </is>
      </c>
      <c r="C5" s="14" t="inlineStr">
        <is>
          <t>s</t>
        </is>
      </c>
      <c r="D5" s="14" t="inlineStr">
        <is>
          <t>hash</t>
        </is>
      </c>
      <c r="E5" s="14" t="inlineStr">
        <is>
          <t>15,15</t>
        </is>
      </c>
      <c r="F5" s="5" t="n">
        <v>225</v>
      </c>
      <c r="G5" s="15" t="n">
        <v>422</v>
      </c>
      <c r="H5" s="15" t="n">
        <v>878</v>
      </c>
      <c r="I5" s="15" t="n">
        <v>305</v>
      </c>
      <c r="J5" s="15" t="n">
        <v>118945500</v>
      </c>
      <c r="K5" s="15" t="n">
        <v>430</v>
      </c>
      <c r="L5" s="7">
        <f>IF(AND(ISNUMBER(I5),ISNUMBER(G5)),I5/G5,"")</f>
        <v/>
      </c>
      <c r="M5" s="7">
        <f>IF(AND(ISNUMBER(I5),ISNUMBER(H5)),I5/H5,"")</f>
        <v/>
      </c>
      <c r="N5" s="7">
        <f>IF(AND(ISNUMBER(H5),ISNUMBER(G5)),H5/G5,"")</f>
        <v/>
      </c>
      <c r="O5" s="9">
        <f>IF(AND(ISNUMBER(J5),ISNUMBER(G5)),J5/G5,"")</f>
        <v/>
      </c>
      <c r="P5" s="14">
        <f>IF(L5="","n/a",IF(L5&lt;0.95,"Lead",IF(L5&gt;1.05,"Lag","Parity")))</f>
        <v/>
      </c>
      <c r="Q5" s="14">
        <f>IF(M5="","n/a",IF(M5&lt;0.95,"Lead",IF(M5&gt;1.05,"Lag","Parity")))</f>
        <v/>
      </c>
      <c r="R5" s="14" t="inlineStr">
        <is>
          <t>ok</t>
        </is>
      </c>
      <c r="S5" s="14" t="inlineStr">
        <is>
          <t>ok</t>
        </is>
      </c>
      <c r="T5" s="14" t="inlineStr">
        <is>
          <t>inline-v1</t>
        </is>
      </c>
      <c r="U5" s="5" t="n">
        <v>900</v>
      </c>
      <c r="V5" s="5" t="n">
        <v>0</v>
      </c>
      <c r="W5" s="16" t="n">
        <v>567.2</v>
      </c>
      <c r="X5" s="16" t="n">
        <v>160</v>
      </c>
      <c r="Y5" s="16" t="n">
        <v>407.2</v>
      </c>
      <c r="Z5" s="16" t="n">
        <v>391.5</v>
      </c>
      <c r="AA5" s="6" t="inlineStr"/>
      <c r="AB5" s="14" t="inlineStr">
        <is>
          <t>yes</t>
        </is>
      </c>
    </row>
    <row r="6">
      <c r="A6" s="14" t="inlineStr">
        <is>
          <t>sq2x2</t>
        </is>
      </c>
      <c r="B6" s="14" t="inlineStr">
        <is>
          <t>stencil-2d</t>
        </is>
      </c>
      <c r="C6" s="14" t="inlineStr">
        <is>
          <t>s</t>
        </is>
      </c>
      <c r="D6" s="14" t="inlineStr">
        <is>
          <t>max</t>
        </is>
      </c>
      <c r="E6" s="14" t="inlineStr">
        <is>
          <t>15,15</t>
        </is>
      </c>
      <c r="F6" s="5" t="n">
        <v>225</v>
      </c>
      <c r="G6" s="15" t="n">
        <v>513</v>
      </c>
      <c r="H6" s="15" t="n">
        <v>897</v>
      </c>
      <c r="I6" s="15" t="n">
        <v>407</v>
      </c>
      <c r="J6" s="15" t="n">
        <v>129022600</v>
      </c>
      <c r="K6" s="15" t="n">
        <v>420</v>
      </c>
      <c r="L6" s="7">
        <f>IF(AND(ISNUMBER(I6),ISNUMBER(G6)),I6/G6,"")</f>
        <v/>
      </c>
      <c r="M6" s="7">
        <f>IF(AND(ISNUMBER(I6),ISNUMBER(H6)),I6/H6,"")</f>
        <v/>
      </c>
      <c r="N6" s="7">
        <f>IF(AND(ISNUMBER(H6),ISNUMBER(G6)),H6/G6,"")</f>
        <v/>
      </c>
      <c r="O6" s="9">
        <f>IF(AND(ISNUMBER(J6),ISNUMBER(G6)),J6/G6,"")</f>
        <v/>
      </c>
      <c r="P6" s="14">
        <f>IF(L6="","n/a",IF(L6&lt;0.95,"Lead",IF(L6&gt;1.05,"Lag","Parity")))</f>
        <v/>
      </c>
      <c r="Q6" s="14">
        <f>IF(M6="","n/a",IF(M6&lt;0.95,"Lead",IF(M6&gt;1.05,"Lag","Parity")))</f>
        <v/>
      </c>
      <c r="R6" s="14" t="inlineStr">
        <is>
          <t>ok</t>
        </is>
      </c>
      <c r="S6" s="14" t="inlineStr">
        <is>
          <t>ok</t>
        </is>
      </c>
      <c r="T6" s="14" t="inlineStr">
        <is>
          <t>inline-v1</t>
        </is>
      </c>
      <c r="U6" s="5" t="n">
        <v>900</v>
      </c>
      <c r="V6" s="5" t="n">
        <v>0</v>
      </c>
      <c r="W6" s="16" t="n">
        <v>367.3</v>
      </c>
      <c r="X6" s="16" t="n">
        <v>124</v>
      </c>
      <c r="Y6" s="16" t="n">
        <v>243.4</v>
      </c>
      <c r="Z6" s="16" t="n">
        <v>323.7</v>
      </c>
      <c r="AA6" s="6" t="inlineStr"/>
      <c r="AB6" s="14" t="inlineStr">
        <is>
          <t>yes</t>
        </is>
      </c>
    </row>
    <row r="7">
      <c r="A7" s="14" t="inlineStr">
        <is>
          <t>sq2x2</t>
        </is>
      </c>
      <c r="B7" s="14" t="inlineStr">
        <is>
          <t>stencil-2d</t>
        </is>
      </c>
      <c r="C7" s="14" t="inlineStr">
        <is>
          <t>s</t>
        </is>
      </c>
      <c r="D7" s="14" t="inlineStr">
        <is>
          <t>ramp</t>
        </is>
      </c>
      <c r="E7" s="14" t="inlineStr">
        <is>
          <t>15,15</t>
        </is>
      </c>
      <c r="F7" s="5" t="n">
        <v>225</v>
      </c>
      <c r="G7" s="15" t="n">
        <v>388</v>
      </c>
      <c r="H7" s="15" t="n">
        <v>719</v>
      </c>
      <c r="I7" s="15" t="n">
        <v>364</v>
      </c>
      <c r="J7" s="15" t="n">
        <v>118987300</v>
      </c>
      <c r="K7" s="15" t="n">
        <v>342</v>
      </c>
      <c r="L7" s="7">
        <f>IF(AND(ISNUMBER(I7),ISNUMBER(G7)),I7/G7,"")</f>
        <v/>
      </c>
      <c r="M7" s="7">
        <f>IF(AND(ISNUMBER(I7),ISNUMBER(H7)),I7/H7,"")</f>
        <v/>
      </c>
      <c r="N7" s="7">
        <f>IF(AND(ISNUMBER(H7),ISNUMBER(G7)),H7/G7,"")</f>
        <v/>
      </c>
      <c r="O7" s="9">
        <f>IF(AND(ISNUMBER(J7),ISNUMBER(G7)),J7/G7,"")</f>
        <v/>
      </c>
      <c r="P7" s="14">
        <f>IF(L7="","n/a",IF(L7&lt;0.95,"Lead",IF(L7&gt;1.05,"Lag","Parity")))</f>
        <v/>
      </c>
      <c r="Q7" s="14">
        <f>IF(M7="","n/a",IF(M7&lt;0.95,"Lead",IF(M7&gt;1.05,"Lag","Parity")))</f>
        <v/>
      </c>
      <c r="R7" s="14" t="inlineStr">
        <is>
          <t>ok</t>
        </is>
      </c>
      <c r="S7" s="14" t="inlineStr">
        <is>
          <t>ok</t>
        </is>
      </c>
      <c r="T7" s="14" t="inlineStr">
        <is>
          <t>inline-v1</t>
        </is>
      </c>
      <c r="U7" s="5" t="n">
        <v>900</v>
      </c>
      <c r="V7" s="5" t="n">
        <v>0</v>
      </c>
      <c r="W7" s="16" t="n">
        <v>410.1</v>
      </c>
      <c r="X7" s="16" t="n">
        <v>121.2</v>
      </c>
      <c r="Y7" s="16" t="n">
        <v>288.9</v>
      </c>
      <c r="Z7" s="16" t="n">
        <v>325.8</v>
      </c>
      <c r="AA7" s="6" t="inlineStr"/>
      <c r="AB7" s="14" t="inlineStr">
        <is>
          <t>yes</t>
        </is>
      </c>
    </row>
    <row r="8">
      <c r="A8" s="14" t="inlineStr">
        <is>
          <t>sq2x2</t>
        </is>
      </c>
      <c r="B8" s="14" t="inlineStr">
        <is>
          <t>stencil-2d</t>
        </is>
      </c>
      <c r="C8" s="14" t="inlineStr">
        <is>
          <t>m</t>
        </is>
      </c>
      <c r="D8" s="14" t="inlineStr">
        <is>
          <t>hash</t>
        </is>
      </c>
      <c r="E8" s="14" t="inlineStr">
        <is>
          <t>255,255</t>
        </is>
      </c>
      <c r="F8" s="5" t="n">
        <v>65025</v>
      </c>
      <c r="G8" s="15" t="n">
        <v>148700</v>
      </c>
      <c r="H8" s="15" t="n">
        <v>200375</v>
      </c>
      <c r="I8" s="17" t="n"/>
      <c r="J8" s="17" t="n"/>
      <c r="K8" s="17" t="n"/>
      <c r="L8" s="7">
        <f>IF(AND(ISNUMBER(I8),ISNUMBER(G8)),I8/G8,"")</f>
        <v/>
      </c>
      <c r="M8" s="7">
        <f>IF(AND(ISNUMBER(I8),ISNUMBER(H8)),I8/H8,"")</f>
        <v/>
      </c>
      <c r="N8" s="7">
        <f>IF(AND(ISNUMBER(H8),ISNUMBER(G8)),H8/G8,"")</f>
        <v/>
      </c>
      <c r="O8" s="9">
        <f>IF(AND(ISNUMBER(J8),ISNUMBER(G8)),J8/G8,"")</f>
        <v/>
      </c>
      <c r="P8" s="14">
        <f>IF(L8="","n/a",IF(L8&lt;0.95,"Lead",IF(L8&gt;1.05,"Lag","Parity")))</f>
        <v/>
      </c>
      <c r="Q8" s="14">
        <f>IF(M8="","n/a",IF(M8&lt;0.95,"Lead",IF(M8&gt;1.05,"Lag","Parity")))</f>
        <v/>
      </c>
      <c r="R8" s="14" t="inlineStr">
        <is>
          <t>unsupported</t>
        </is>
      </c>
      <c r="S8" s="14" t="inlineStr">
        <is>
          <t>unsupported</t>
        </is>
      </c>
      <c r="T8" s="14" t="n"/>
      <c r="U8" s="8" t="n"/>
      <c r="V8" s="8" t="n"/>
      <c r="W8" s="10" t="n"/>
      <c r="X8" s="10" t="n"/>
      <c r="Y8" s="10" t="n"/>
      <c r="Z8" s="10" t="n"/>
      <c r="AA8" s="6" t="inlineStr">
        <is>
          <t>UNSUPPORTED_PROFILE / input exceeds 256 cells</t>
        </is>
      </c>
      <c r="AB8" s="14" t="inlineStr">
        <is>
          <t>yes</t>
        </is>
      </c>
    </row>
    <row r="9">
      <c r="A9" s="14" t="inlineStr">
        <is>
          <t>sq2x2</t>
        </is>
      </c>
      <c r="B9" s="14" t="inlineStr">
        <is>
          <t>stencil-2d</t>
        </is>
      </c>
      <c r="C9" s="14" t="inlineStr">
        <is>
          <t>m</t>
        </is>
      </c>
      <c r="D9" s="14" t="inlineStr">
        <is>
          <t>max</t>
        </is>
      </c>
      <c r="E9" s="14" t="inlineStr">
        <is>
          <t>255,255</t>
        </is>
      </c>
      <c r="F9" s="5" t="n">
        <v>65025</v>
      </c>
      <c r="G9" s="15" t="n">
        <v>156225</v>
      </c>
      <c r="H9" s="15" t="n">
        <v>198712</v>
      </c>
      <c r="I9" s="17" t="n"/>
      <c r="J9" s="17" t="n"/>
      <c r="K9" s="17" t="n"/>
      <c r="L9" s="7">
        <f>IF(AND(ISNUMBER(I9),ISNUMBER(G9)),I9/G9,"")</f>
        <v/>
      </c>
      <c r="M9" s="7">
        <f>IF(AND(ISNUMBER(I9),ISNUMBER(H9)),I9/H9,"")</f>
        <v/>
      </c>
      <c r="N9" s="7">
        <f>IF(AND(ISNUMBER(H9),ISNUMBER(G9)),H9/G9,"")</f>
        <v/>
      </c>
      <c r="O9" s="9">
        <f>IF(AND(ISNUMBER(J9),ISNUMBER(G9)),J9/G9,"")</f>
        <v/>
      </c>
      <c r="P9" s="14">
        <f>IF(L9="","n/a",IF(L9&lt;0.95,"Lead",IF(L9&gt;1.05,"Lag","Parity")))</f>
        <v/>
      </c>
      <c r="Q9" s="14">
        <f>IF(M9="","n/a",IF(M9&lt;0.95,"Lead",IF(M9&gt;1.05,"Lag","Parity")))</f>
        <v/>
      </c>
      <c r="R9" s="14" t="inlineStr">
        <is>
          <t>unsupported</t>
        </is>
      </c>
      <c r="S9" s="14" t="inlineStr">
        <is>
          <t>unsupported</t>
        </is>
      </c>
      <c r="T9" s="14" t="n"/>
      <c r="U9" s="8" t="n"/>
      <c r="V9" s="8" t="n"/>
      <c r="W9" s="10" t="n"/>
      <c r="X9" s="10" t="n"/>
      <c r="Y9" s="10" t="n"/>
      <c r="Z9" s="10" t="n"/>
      <c r="AA9" s="6" t="inlineStr">
        <is>
          <t>UNSUPPORTED_PROFILE / input exceeds 256 cells</t>
        </is>
      </c>
      <c r="AB9" s="14" t="inlineStr">
        <is>
          <t>yes</t>
        </is>
      </c>
    </row>
    <row r="10">
      <c r="A10" s="14" t="inlineStr">
        <is>
          <t>sq2x2</t>
        </is>
      </c>
      <c r="B10" s="14" t="inlineStr">
        <is>
          <t>stencil-2d</t>
        </is>
      </c>
      <c r="C10" s="14" t="inlineStr">
        <is>
          <t>m</t>
        </is>
      </c>
      <c r="D10" s="14" t="inlineStr">
        <is>
          <t>ramp</t>
        </is>
      </c>
      <c r="E10" s="14" t="inlineStr">
        <is>
          <t>255,255</t>
        </is>
      </c>
      <c r="F10" s="5" t="n">
        <v>65025</v>
      </c>
      <c r="G10" s="15" t="n">
        <v>144312</v>
      </c>
      <c r="H10" s="15" t="n">
        <v>185712</v>
      </c>
      <c r="I10" s="17" t="n"/>
      <c r="J10" s="17" t="n"/>
      <c r="K10" s="17" t="n"/>
      <c r="L10" s="7">
        <f>IF(AND(ISNUMBER(I10),ISNUMBER(G10)),I10/G10,"")</f>
        <v/>
      </c>
      <c r="M10" s="7">
        <f>IF(AND(ISNUMBER(I10),ISNUMBER(H10)),I10/H10,"")</f>
        <v/>
      </c>
      <c r="N10" s="7">
        <f>IF(AND(ISNUMBER(H10),ISNUMBER(G10)),H10/G10,"")</f>
        <v/>
      </c>
      <c r="O10" s="9">
        <f>IF(AND(ISNUMBER(J10),ISNUMBER(G10)),J10/G10,"")</f>
        <v/>
      </c>
      <c r="P10" s="14">
        <f>IF(L10="","n/a",IF(L10&lt;0.95,"Lead",IF(L10&gt;1.05,"Lag","Parity")))</f>
        <v/>
      </c>
      <c r="Q10" s="14">
        <f>IF(M10="","n/a",IF(M10&lt;0.95,"Lead",IF(M10&gt;1.05,"Lag","Parity")))</f>
        <v/>
      </c>
      <c r="R10" s="14" t="inlineStr">
        <is>
          <t>unsupported</t>
        </is>
      </c>
      <c r="S10" s="14" t="inlineStr">
        <is>
          <t>unsupported</t>
        </is>
      </c>
      <c r="T10" s="14" t="n"/>
      <c r="U10" s="8" t="n"/>
      <c r="V10" s="8" t="n"/>
      <c r="W10" s="10" t="n"/>
      <c r="X10" s="10" t="n"/>
      <c r="Y10" s="10" t="n"/>
      <c r="Z10" s="10" t="n"/>
      <c r="AA10" s="6" t="inlineStr">
        <is>
          <t>UNSUPPORTED_PROFILE / input exceeds 256 cells</t>
        </is>
      </c>
      <c r="AB10" s="14" t="inlineStr">
        <is>
          <t>yes</t>
        </is>
      </c>
    </row>
    <row r="11">
      <c r="A11" s="14" t="inlineStr">
        <is>
          <t>sq2x2</t>
        </is>
      </c>
      <c r="B11" s="14" t="inlineStr">
        <is>
          <t>stencil-2d</t>
        </is>
      </c>
      <c r="C11" s="14" t="inlineStr">
        <is>
          <t>l</t>
        </is>
      </c>
      <c r="D11" s="14" t="inlineStr">
        <is>
          <t>hash</t>
        </is>
      </c>
      <c r="E11" s="14" t="inlineStr">
        <is>
          <t>2047,2047</t>
        </is>
      </c>
      <c r="F11" s="5" t="n">
        <v>4190209</v>
      </c>
      <c r="G11" s="15" t="n">
        <v>8373650</v>
      </c>
      <c r="H11" s="15" t="n">
        <v>12651850</v>
      </c>
      <c r="I11" s="17" t="n"/>
      <c r="J11" s="17" t="n"/>
      <c r="K11" s="17" t="n"/>
      <c r="L11" s="7">
        <f>IF(AND(ISNUMBER(I11),ISNUMBER(G11)),I11/G11,"")</f>
        <v/>
      </c>
      <c r="M11" s="7">
        <f>IF(AND(ISNUMBER(I11),ISNUMBER(H11)),I11/H11,"")</f>
        <v/>
      </c>
      <c r="N11" s="7">
        <f>IF(AND(ISNUMBER(H11),ISNUMBER(G11)),H11/G11,"")</f>
        <v/>
      </c>
      <c r="O11" s="9">
        <f>IF(AND(ISNUMBER(J11),ISNUMBER(G11)),J11/G11,"")</f>
        <v/>
      </c>
      <c r="P11" s="14">
        <f>IF(L11="","n/a",IF(L11&lt;0.95,"Lead",IF(L11&gt;1.05,"Lag","Parity")))</f>
        <v/>
      </c>
      <c r="Q11" s="14">
        <f>IF(M11="","n/a",IF(M11&lt;0.95,"Lead",IF(M11&gt;1.05,"Lag","Parity")))</f>
        <v/>
      </c>
      <c r="R11" s="14" t="inlineStr">
        <is>
          <t>unsupported</t>
        </is>
      </c>
      <c r="S11" s="14" t="inlineStr">
        <is>
          <t>unsupported</t>
        </is>
      </c>
      <c r="T11" s="14" t="n"/>
      <c r="U11" s="8" t="n"/>
      <c r="V11" s="8" t="n"/>
      <c r="W11" s="10" t="n"/>
      <c r="X11" s="10" t="n"/>
      <c r="Y11" s="10" t="n"/>
      <c r="Z11" s="10" t="n"/>
      <c r="AA11" s="6" t="inlineStr">
        <is>
          <t>UNSUPPORTED_PROFILE / input exceeds 256 cells</t>
        </is>
      </c>
      <c r="AB11" s="14" t="inlineStr">
        <is>
          <t>yes</t>
        </is>
      </c>
    </row>
    <row r="12">
      <c r="A12" s="14" t="inlineStr">
        <is>
          <t>sq2x2</t>
        </is>
      </c>
      <c r="B12" s="14" t="inlineStr">
        <is>
          <t>stencil-2d</t>
        </is>
      </c>
      <c r="C12" s="14" t="inlineStr">
        <is>
          <t>l</t>
        </is>
      </c>
      <c r="D12" s="14" t="inlineStr">
        <is>
          <t>max</t>
        </is>
      </c>
      <c r="E12" s="14" t="inlineStr">
        <is>
          <t>2047,2047</t>
        </is>
      </c>
      <c r="F12" s="5" t="n">
        <v>4190209</v>
      </c>
      <c r="G12" s="15" t="n">
        <v>10026850</v>
      </c>
      <c r="H12" s="15" t="n">
        <v>13721300</v>
      </c>
      <c r="I12" s="17" t="n"/>
      <c r="J12" s="17" t="n"/>
      <c r="K12" s="17" t="n"/>
      <c r="L12" s="7">
        <f>IF(AND(ISNUMBER(I12),ISNUMBER(G12)),I12/G12,"")</f>
        <v/>
      </c>
      <c r="M12" s="7">
        <f>IF(AND(ISNUMBER(I12),ISNUMBER(H12)),I12/H12,"")</f>
        <v/>
      </c>
      <c r="N12" s="7">
        <f>IF(AND(ISNUMBER(H12),ISNUMBER(G12)),H12/G12,"")</f>
        <v/>
      </c>
      <c r="O12" s="9">
        <f>IF(AND(ISNUMBER(J12),ISNUMBER(G12)),J12/G12,"")</f>
        <v/>
      </c>
      <c r="P12" s="14">
        <f>IF(L12="","n/a",IF(L12&lt;0.95,"Lead",IF(L12&gt;1.05,"Lag","Parity")))</f>
        <v/>
      </c>
      <c r="Q12" s="14">
        <f>IF(M12="","n/a",IF(M12&lt;0.95,"Lead",IF(M12&gt;1.05,"Lag","Parity")))</f>
        <v/>
      </c>
      <c r="R12" s="14" t="inlineStr">
        <is>
          <t>unsupported</t>
        </is>
      </c>
      <c r="S12" s="14" t="inlineStr">
        <is>
          <t>unsupported</t>
        </is>
      </c>
      <c r="T12" s="14" t="n"/>
      <c r="U12" s="8" t="n"/>
      <c r="V12" s="8" t="n"/>
      <c r="W12" s="10" t="n"/>
      <c r="X12" s="10" t="n"/>
      <c r="Y12" s="10" t="n"/>
      <c r="Z12" s="10" t="n"/>
      <c r="AA12" s="6" t="inlineStr">
        <is>
          <t>UNSUPPORTED_PROFILE / input exceeds 256 cells</t>
        </is>
      </c>
      <c r="AB12" s="14" t="inlineStr">
        <is>
          <t>yes</t>
        </is>
      </c>
    </row>
    <row r="13">
      <c r="A13" s="14" t="inlineStr">
        <is>
          <t>sq2x2</t>
        </is>
      </c>
      <c r="B13" s="14" t="inlineStr">
        <is>
          <t>stencil-2d</t>
        </is>
      </c>
      <c r="C13" s="14" t="inlineStr">
        <is>
          <t>l</t>
        </is>
      </c>
      <c r="D13" s="14" t="inlineStr">
        <is>
          <t>ramp</t>
        </is>
      </c>
      <c r="E13" s="14" t="inlineStr">
        <is>
          <t>2047,2047</t>
        </is>
      </c>
      <c r="F13" s="5" t="n">
        <v>4190209</v>
      </c>
      <c r="G13" s="15" t="n">
        <v>8003000</v>
      </c>
      <c r="H13" s="15" t="n">
        <v>13138300</v>
      </c>
      <c r="I13" s="17" t="n"/>
      <c r="J13" s="17" t="n"/>
      <c r="K13" s="17" t="n"/>
      <c r="L13" s="7">
        <f>IF(AND(ISNUMBER(I13),ISNUMBER(G13)),I13/G13,"")</f>
        <v/>
      </c>
      <c r="M13" s="7">
        <f>IF(AND(ISNUMBER(I13),ISNUMBER(H13)),I13/H13,"")</f>
        <v/>
      </c>
      <c r="N13" s="7">
        <f>IF(AND(ISNUMBER(H13),ISNUMBER(G13)),H13/G13,"")</f>
        <v/>
      </c>
      <c r="O13" s="9">
        <f>IF(AND(ISNUMBER(J13),ISNUMBER(G13)),J13/G13,"")</f>
        <v/>
      </c>
      <c r="P13" s="14">
        <f>IF(L13="","n/a",IF(L13&lt;0.95,"Lead",IF(L13&gt;1.05,"Lag","Parity")))</f>
        <v/>
      </c>
      <c r="Q13" s="14">
        <f>IF(M13="","n/a",IF(M13&lt;0.95,"Lead",IF(M13&gt;1.05,"Lag","Parity")))</f>
        <v/>
      </c>
      <c r="R13" s="14" t="inlineStr">
        <is>
          <t>unsupported</t>
        </is>
      </c>
      <c r="S13" s="14" t="inlineStr">
        <is>
          <t>unsupported</t>
        </is>
      </c>
      <c r="T13" s="14" t="n"/>
      <c r="U13" s="8" t="n"/>
      <c r="V13" s="8" t="n"/>
      <c r="W13" s="10" t="n"/>
      <c r="X13" s="10" t="n"/>
      <c r="Y13" s="10" t="n"/>
      <c r="Z13" s="10" t="n"/>
      <c r="AA13" s="6" t="inlineStr">
        <is>
          <t>UNSUPPORTED_PROFILE / input exceeds 256 cells</t>
        </is>
      </c>
      <c r="AB13" s="14" t="inlineStr">
        <is>
          <t>yes</t>
        </is>
      </c>
    </row>
    <row r="14">
      <c r="A14" s="14" t="inlineStr">
        <is>
          <t>stencil1d3</t>
        </is>
      </c>
      <c r="B14" s="14" t="inlineStr">
        <is>
          <t>stencil-1d</t>
        </is>
      </c>
      <c r="C14" s="14" t="inlineStr">
        <is>
          <t>s</t>
        </is>
      </c>
      <c r="D14" s="14" t="inlineStr">
        <is>
          <t>hash</t>
        </is>
      </c>
      <c r="E14" s="14" t="inlineStr">
        <is>
          <t>254,0</t>
        </is>
      </c>
      <c r="F14" s="5" t="n">
        <v>254</v>
      </c>
      <c r="G14" s="15" t="n">
        <v>206</v>
      </c>
      <c r="H14" s="15" t="n">
        <v>162</v>
      </c>
      <c r="I14" s="15" t="n">
        <v>164</v>
      </c>
      <c r="J14" s="15" t="n">
        <v>59255900</v>
      </c>
      <c r="K14" s="17" t="n"/>
      <c r="L14" s="7">
        <f>IF(AND(ISNUMBER(I14),ISNUMBER(G14)),I14/G14,"")</f>
        <v/>
      </c>
      <c r="M14" s="7">
        <f>IF(AND(ISNUMBER(I14),ISNUMBER(H14)),I14/H14,"")</f>
        <v/>
      </c>
      <c r="N14" s="7">
        <f>IF(AND(ISNUMBER(H14),ISNUMBER(G14)),H14/G14,"")</f>
        <v/>
      </c>
      <c r="O14" s="9">
        <f>IF(AND(ISNUMBER(J14),ISNUMBER(G14)),J14/G14,"")</f>
        <v/>
      </c>
      <c r="P14" s="14">
        <f>IF(L14="","n/a",IF(L14&lt;0.95,"Lead",IF(L14&gt;1.05,"Lag","Parity")))</f>
        <v/>
      </c>
      <c r="Q14" s="14">
        <f>IF(M14="","n/a",IF(M14&lt;0.95,"Lead",IF(M14&gt;1.05,"Lag","Parity")))</f>
        <v/>
      </c>
      <c r="R14" s="14" t="inlineStr">
        <is>
          <t>ok</t>
        </is>
      </c>
      <c r="S14" s="14" t="inlineStr">
        <is>
          <t>ok</t>
        </is>
      </c>
      <c r="T14" s="14" t="inlineStr">
        <is>
          <t>inline-v1</t>
        </is>
      </c>
      <c r="U14" s="5" t="n">
        <v>254</v>
      </c>
      <c r="V14" s="5" t="n">
        <v>0</v>
      </c>
      <c r="W14" s="16" t="n">
        <v>758.8</v>
      </c>
      <c r="X14" s="16" t="n">
        <v>104</v>
      </c>
      <c r="Y14" s="16" t="n">
        <v>654.7</v>
      </c>
      <c r="Z14" s="16" t="n">
        <v>220.8</v>
      </c>
      <c r="AA14" s="6" t="inlineStr"/>
      <c r="AB14" s="14" t="inlineStr">
        <is>
          <t>yes</t>
        </is>
      </c>
    </row>
    <row r="15">
      <c r="A15" s="14" t="inlineStr">
        <is>
          <t>stencil1d3</t>
        </is>
      </c>
      <c r="B15" s="14" t="inlineStr">
        <is>
          <t>stencil-1d</t>
        </is>
      </c>
      <c r="C15" s="14" t="inlineStr">
        <is>
          <t>s</t>
        </is>
      </c>
      <c r="D15" s="14" t="inlineStr">
        <is>
          <t>max</t>
        </is>
      </c>
      <c r="E15" s="14" t="inlineStr">
        <is>
          <t>254,0</t>
        </is>
      </c>
      <c r="F15" s="5" t="n">
        <v>254</v>
      </c>
      <c r="G15" s="15" t="n">
        <v>187</v>
      </c>
      <c r="H15" s="15" t="n">
        <v>205</v>
      </c>
      <c r="I15" s="17" t="n"/>
      <c r="J15" s="15" t="n">
        <v>55730500</v>
      </c>
      <c r="K15" s="17" t="n"/>
      <c r="L15" s="7">
        <f>IF(AND(ISNUMBER(I15),ISNUMBER(G15)),I15/G15,"")</f>
        <v/>
      </c>
      <c r="M15" s="7">
        <f>IF(AND(ISNUMBER(I15),ISNUMBER(H15)),I15/H15,"")</f>
        <v/>
      </c>
      <c r="N15" s="7">
        <f>IF(AND(ISNUMBER(H15),ISNUMBER(G15)),H15/G15,"")</f>
        <v/>
      </c>
      <c r="O15" s="9">
        <f>IF(AND(ISNUMBER(J15),ISNUMBER(G15)),J15/G15,"")</f>
        <v/>
      </c>
      <c r="P15" s="14">
        <f>IF(L15="","n/a",IF(L15&lt;0.95,"Lead",IF(L15&gt;1.05,"Lag","Parity")))</f>
        <v/>
      </c>
      <c r="Q15" s="14">
        <f>IF(M15="","n/a",IF(M15&lt;0.95,"Lead",IF(M15&gt;1.05,"Lag","Parity")))</f>
        <v/>
      </c>
      <c r="R15" s="14" t="inlineStr">
        <is>
          <t>blocked</t>
        </is>
      </c>
      <c r="S15" s="14" t="inlineStr">
        <is>
          <t>ok</t>
        </is>
      </c>
      <c r="T15" s="14" t="n"/>
      <c r="U15" s="8" t="n"/>
      <c r="V15" s="8" t="n"/>
      <c r="W15" s="10" t="n"/>
      <c r="X15" s="10" t="n"/>
      <c r="Y15" s="10" t="n"/>
      <c r="Z15" s="16" t="n">
        <v>202.4</v>
      </c>
      <c r="AA15" s="6" t="inlineStr"/>
      <c r="AB15" s="14" t="inlineStr">
        <is>
          <t>yes</t>
        </is>
      </c>
    </row>
    <row r="16">
      <c r="A16" s="14" t="inlineStr">
        <is>
          <t>stencil1d3</t>
        </is>
      </c>
      <c r="B16" s="14" t="inlineStr">
        <is>
          <t>stencil-1d</t>
        </is>
      </c>
      <c r="C16" s="14" t="inlineStr">
        <is>
          <t>s</t>
        </is>
      </c>
      <c r="D16" s="14" t="inlineStr">
        <is>
          <t>ramp</t>
        </is>
      </c>
      <c r="E16" s="14" t="inlineStr">
        <is>
          <t>254,0</t>
        </is>
      </c>
      <c r="F16" s="5" t="n">
        <v>254</v>
      </c>
      <c r="G16" s="15" t="n">
        <v>162</v>
      </c>
      <c r="H16" s="15" t="n">
        <v>155</v>
      </c>
      <c r="I16" s="15" t="n">
        <v>162</v>
      </c>
      <c r="J16" s="15" t="n">
        <v>44709000</v>
      </c>
      <c r="K16" s="17" t="n"/>
      <c r="L16" s="7">
        <f>IF(AND(ISNUMBER(I16),ISNUMBER(G16)),I16/G16,"")</f>
        <v/>
      </c>
      <c r="M16" s="7">
        <f>IF(AND(ISNUMBER(I16),ISNUMBER(H16)),I16/H16,"")</f>
        <v/>
      </c>
      <c r="N16" s="7">
        <f>IF(AND(ISNUMBER(H16),ISNUMBER(G16)),H16/G16,"")</f>
        <v/>
      </c>
      <c r="O16" s="9">
        <f>IF(AND(ISNUMBER(J16),ISNUMBER(G16)),J16/G16,"")</f>
        <v/>
      </c>
      <c r="P16" s="14">
        <f>IF(L16="","n/a",IF(L16&lt;0.95,"Lead",IF(L16&gt;1.05,"Lag","Parity")))</f>
        <v/>
      </c>
      <c r="Q16" s="14">
        <f>IF(M16="","n/a",IF(M16&lt;0.95,"Lead",IF(M16&gt;1.05,"Lag","Parity")))</f>
        <v/>
      </c>
      <c r="R16" s="14" t="inlineStr">
        <is>
          <t>ok</t>
        </is>
      </c>
      <c r="S16" s="14" t="inlineStr">
        <is>
          <t>ok</t>
        </is>
      </c>
      <c r="T16" s="14" t="inlineStr">
        <is>
          <t>inline-v1</t>
        </is>
      </c>
      <c r="U16" s="5" t="n">
        <v>254</v>
      </c>
      <c r="V16" s="5" t="n">
        <v>0</v>
      </c>
      <c r="W16" s="16" t="n">
        <v>404.6</v>
      </c>
      <c r="X16" s="16" t="n">
        <v>63.5</v>
      </c>
      <c r="Y16" s="16" t="n">
        <v>341.1</v>
      </c>
      <c r="Z16" s="16" t="n">
        <v>181.6</v>
      </c>
      <c r="AA16" s="6" t="inlineStr"/>
      <c r="AB16" s="14" t="inlineStr">
        <is>
          <t>yes</t>
        </is>
      </c>
    </row>
    <row r="17">
      <c r="A17" s="14" t="inlineStr">
        <is>
          <t>stencil1d3</t>
        </is>
      </c>
      <c r="B17" s="14" t="inlineStr">
        <is>
          <t>stencil-1d</t>
        </is>
      </c>
      <c r="C17" s="14" t="inlineStr">
        <is>
          <t>m</t>
        </is>
      </c>
      <c r="D17" s="14" t="inlineStr">
        <is>
          <t>hash</t>
        </is>
      </c>
      <c r="E17" s="14" t="inlineStr">
        <is>
          <t>65534,0</t>
        </is>
      </c>
      <c r="F17" s="5" t="n">
        <v>65534</v>
      </c>
      <c r="G17" s="15" t="n">
        <v>52643</v>
      </c>
      <c r="H17" s="15" t="n">
        <v>50351</v>
      </c>
      <c r="I17" s="17" t="n"/>
      <c r="J17" s="17" t="n"/>
      <c r="K17" s="17" t="n"/>
      <c r="L17" s="7">
        <f>IF(AND(ISNUMBER(I17),ISNUMBER(G17)),I17/G17,"")</f>
        <v/>
      </c>
      <c r="M17" s="7">
        <f>IF(AND(ISNUMBER(I17),ISNUMBER(H17)),I17/H17,"")</f>
        <v/>
      </c>
      <c r="N17" s="7">
        <f>IF(AND(ISNUMBER(H17),ISNUMBER(G17)),H17/G17,"")</f>
        <v/>
      </c>
      <c r="O17" s="9">
        <f>IF(AND(ISNUMBER(J17),ISNUMBER(G17)),J17/G17,"")</f>
        <v/>
      </c>
      <c r="P17" s="14">
        <f>IF(L17="","n/a",IF(L17&lt;0.95,"Lead",IF(L17&gt;1.05,"Lag","Parity")))</f>
        <v/>
      </c>
      <c r="Q17" s="14">
        <f>IF(M17="","n/a",IF(M17&lt;0.95,"Lead",IF(M17&gt;1.05,"Lag","Parity")))</f>
        <v/>
      </c>
      <c r="R17" s="14" t="inlineStr">
        <is>
          <t>unsupported</t>
        </is>
      </c>
      <c r="S17" s="14" t="inlineStr">
        <is>
          <t>unsupported</t>
        </is>
      </c>
      <c r="T17" s="14" t="n"/>
      <c r="U17" s="8" t="n"/>
      <c r="V17" s="8" t="n"/>
      <c r="W17" s="10" t="n"/>
      <c r="X17" s="10" t="n"/>
      <c r="Y17" s="10" t="n"/>
      <c r="Z17" s="10" t="n"/>
      <c r="AA17" s="6" t="inlineStr">
        <is>
          <t>UNSUPPORTED_PROFILE / input exceeds 256 cells</t>
        </is>
      </c>
      <c r="AB17" s="14" t="inlineStr">
        <is>
          <t>yes</t>
        </is>
      </c>
    </row>
    <row r="18">
      <c r="A18" s="14" t="inlineStr">
        <is>
          <t>stencil1d3</t>
        </is>
      </c>
      <c r="B18" s="14" t="inlineStr">
        <is>
          <t>stencil-1d</t>
        </is>
      </c>
      <c r="C18" s="14" t="inlineStr">
        <is>
          <t>m</t>
        </is>
      </c>
      <c r="D18" s="14" t="inlineStr">
        <is>
          <t>max</t>
        </is>
      </c>
      <c r="E18" s="14" t="inlineStr">
        <is>
          <t>65534,0</t>
        </is>
      </c>
      <c r="F18" s="5" t="n">
        <v>65534</v>
      </c>
      <c r="G18" s="15" t="n">
        <v>45625</v>
      </c>
      <c r="H18" s="15" t="n">
        <v>39821</v>
      </c>
      <c r="I18" s="17" t="n"/>
      <c r="J18" s="17" t="n"/>
      <c r="K18" s="17" t="n"/>
      <c r="L18" s="7">
        <f>IF(AND(ISNUMBER(I18),ISNUMBER(G18)),I18/G18,"")</f>
        <v/>
      </c>
      <c r="M18" s="7">
        <f>IF(AND(ISNUMBER(I18),ISNUMBER(H18)),I18/H18,"")</f>
        <v/>
      </c>
      <c r="N18" s="7">
        <f>IF(AND(ISNUMBER(H18),ISNUMBER(G18)),H18/G18,"")</f>
        <v/>
      </c>
      <c r="O18" s="9">
        <f>IF(AND(ISNUMBER(J18),ISNUMBER(G18)),J18/G18,"")</f>
        <v/>
      </c>
      <c r="P18" s="14">
        <f>IF(L18="","n/a",IF(L18&lt;0.95,"Lead",IF(L18&gt;1.05,"Lag","Parity")))</f>
        <v/>
      </c>
      <c r="Q18" s="14">
        <f>IF(M18="","n/a",IF(M18&lt;0.95,"Lead",IF(M18&gt;1.05,"Lag","Parity")))</f>
        <v/>
      </c>
      <c r="R18" s="14" t="inlineStr">
        <is>
          <t>unsupported</t>
        </is>
      </c>
      <c r="S18" s="14" t="inlineStr">
        <is>
          <t>unsupported</t>
        </is>
      </c>
      <c r="T18" s="14" t="n"/>
      <c r="U18" s="8" t="n"/>
      <c r="V18" s="8" t="n"/>
      <c r="W18" s="10" t="n"/>
      <c r="X18" s="10" t="n"/>
      <c r="Y18" s="10" t="n"/>
      <c r="Z18" s="10" t="n"/>
      <c r="AA18" s="6" t="inlineStr">
        <is>
          <t>UNSUPPORTED_PROFILE / input exceeds 256 cells</t>
        </is>
      </c>
      <c r="AB18" s="14" t="inlineStr">
        <is>
          <t>yes</t>
        </is>
      </c>
    </row>
    <row r="19">
      <c r="A19" s="14" t="inlineStr">
        <is>
          <t>stencil1d3</t>
        </is>
      </c>
      <c r="B19" s="14" t="inlineStr">
        <is>
          <t>stencil-1d</t>
        </is>
      </c>
      <c r="C19" s="14" t="inlineStr">
        <is>
          <t>m</t>
        </is>
      </c>
      <c r="D19" s="14" t="inlineStr">
        <is>
          <t>ramp</t>
        </is>
      </c>
      <c r="E19" s="14" t="inlineStr">
        <is>
          <t>65534,0</t>
        </is>
      </c>
      <c r="F19" s="5" t="n">
        <v>65534</v>
      </c>
      <c r="G19" s="15" t="n">
        <v>44259</v>
      </c>
      <c r="H19" s="15" t="n">
        <v>51103</v>
      </c>
      <c r="I19" s="17" t="n"/>
      <c r="J19" s="17" t="n"/>
      <c r="K19" s="17" t="n"/>
      <c r="L19" s="7">
        <f>IF(AND(ISNUMBER(I19),ISNUMBER(G19)),I19/G19,"")</f>
        <v/>
      </c>
      <c r="M19" s="7">
        <f>IF(AND(ISNUMBER(I19),ISNUMBER(H19)),I19/H19,"")</f>
        <v/>
      </c>
      <c r="N19" s="7">
        <f>IF(AND(ISNUMBER(H19),ISNUMBER(G19)),H19/G19,"")</f>
        <v/>
      </c>
      <c r="O19" s="9">
        <f>IF(AND(ISNUMBER(J19),ISNUMBER(G19)),J19/G19,"")</f>
        <v/>
      </c>
      <c r="P19" s="14">
        <f>IF(L19="","n/a",IF(L19&lt;0.95,"Lead",IF(L19&gt;1.05,"Lag","Parity")))</f>
        <v/>
      </c>
      <c r="Q19" s="14">
        <f>IF(M19="","n/a",IF(M19&lt;0.95,"Lead",IF(M19&gt;1.05,"Lag","Parity")))</f>
        <v/>
      </c>
      <c r="R19" s="14" t="inlineStr">
        <is>
          <t>unsupported</t>
        </is>
      </c>
      <c r="S19" s="14" t="inlineStr">
        <is>
          <t>unsupported</t>
        </is>
      </c>
      <c r="T19" s="14" t="n"/>
      <c r="U19" s="8" t="n"/>
      <c r="V19" s="8" t="n"/>
      <c r="W19" s="10" t="n"/>
      <c r="X19" s="10" t="n"/>
      <c r="Y19" s="10" t="n"/>
      <c r="Z19" s="10" t="n"/>
      <c r="AA19" s="6" t="inlineStr">
        <is>
          <t>UNSUPPORTED_PROFILE / input exceeds 256 cells</t>
        </is>
      </c>
      <c r="AB19" s="14" t="inlineStr">
        <is>
          <t>yes</t>
        </is>
      </c>
    </row>
    <row r="20">
      <c r="A20" s="14" t="inlineStr">
        <is>
          <t>stencil1d3</t>
        </is>
      </c>
      <c r="B20" s="14" t="inlineStr">
        <is>
          <t>stencil-1d</t>
        </is>
      </c>
      <c r="C20" s="14" t="inlineStr">
        <is>
          <t>l</t>
        </is>
      </c>
      <c r="D20" s="14" t="inlineStr">
        <is>
          <t>hash</t>
        </is>
      </c>
      <c r="E20" s="14" t="inlineStr">
        <is>
          <t>4194302,0</t>
        </is>
      </c>
      <c r="F20" s="5" t="n">
        <v>4194302</v>
      </c>
      <c r="G20" s="15" t="n">
        <v>4415300</v>
      </c>
      <c r="H20" s="15" t="n">
        <v>4491700</v>
      </c>
      <c r="I20" s="17" t="n"/>
      <c r="J20" s="17" t="n"/>
      <c r="K20" s="17" t="n"/>
      <c r="L20" s="7">
        <f>IF(AND(ISNUMBER(I20),ISNUMBER(G20)),I20/G20,"")</f>
        <v/>
      </c>
      <c r="M20" s="7">
        <f>IF(AND(ISNUMBER(I20),ISNUMBER(H20)),I20/H20,"")</f>
        <v/>
      </c>
      <c r="N20" s="7">
        <f>IF(AND(ISNUMBER(H20),ISNUMBER(G20)),H20/G20,"")</f>
        <v/>
      </c>
      <c r="O20" s="9">
        <f>IF(AND(ISNUMBER(J20),ISNUMBER(G20)),J20/G20,"")</f>
        <v/>
      </c>
      <c r="P20" s="14">
        <f>IF(L20="","n/a",IF(L20&lt;0.95,"Lead",IF(L20&gt;1.05,"Lag","Parity")))</f>
        <v/>
      </c>
      <c r="Q20" s="14">
        <f>IF(M20="","n/a",IF(M20&lt;0.95,"Lead",IF(M20&gt;1.05,"Lag","Parity")))</f>
        <v/>
      </c>
      <c r="R20" s="14" t="inlineStr">
        <is>
          <t>unsupported</t>
        </is>
      </c>
      <c r="S20" s="14" t="inlineStr">
        <is>
          <t>unsupported</t>
        </is>
      </c>
      <c r="T20" s="14" t="n"/>
      <c r="U20" s="8" t="n"/>
      <c r="V20" s="8" t="n"/>
      <c r="W20" s="10" t="n"/>
      <c r="X20" s="10" t="n"/>
      <c r="Y20" s="10" t="n"/>
      <c r="Z20" s="10" t="n"/>
      <c r="AA20" s="6" t="inlineStr">
        <is>
          <t>UNSUPPORTED_PROFILE / input exceeds 256 cells</t>
        </is>
      </c>
      <c r="AB20" s="14" t="inlineStr">
        <is>
          <t>yes</t>
        </is>
      </c>
    </row>
    <row r="21">
      <c r="A21" s="14" t="inlineStr">
        <is>
          <t>stencil1d3</t>
        </is>
      </c>
      <c r="B21" s="14" t="inlineStr">
        <is>
          <t>stencil-1d</t>
        </is>
      </c>
      <c r="C21" s="14" t="inlineStr">
        <is>
          <t>l</t>
        </is>
      </c>
      <c r="D21" s="14" t="inlineStr">
        <is>
          <t>max</t>
        </is>
      </c>
      <c r="E21" s="14" t="inlineStr">
        <is>
          <t>4194302,0</t>
        </is>
      </c>
      <c r="F21" s="5" t="n">
        <v>4194302</v>
      </c>
      <c r="G21" s="15" t="n">
        <v>5291400</v>
      </c>
      <c r="H21" s="15" t="n">
        <v>5853100</v>
      </c>
      <c r="I21" s="17" t="n"/>
      <c r="J21" s="17" t="n"/>
      <c r="K21" s="17" t="n"/>
      <c r="L21" s="7">
        <f>IF(AND(ISNUMBER(I21),ISNUMBER(G21)),I21/G21,"")</f>
        <v/>
      </c>
      <c r="M21" s="7">
        <f>IF(AND(ISNUMBER(I21),ISNUMBER(H21)),I21/H21,"")</f>
        <v/>
      </c>
      <c r="N21" s="7">
        <f>IF(AND(ISNUMBER(H21),ISNUMBER(G21)),H21/G21,"")</f>
        <v/>
      </c>
      <c r="O21" s="9">
        <f>IF(AND(ISNUMBER(J21),ISNUMBER(G21)),J21/G21,"")</f>
        <v/>
      </c>
      <c r="P21" s="14">
        <f>IF(L21="","n/a",IF(L21&lt;0.95,"Lead",IF(L21&gt;1.05,"Lag","Parity")))</f>
        <v/>
      </c>
      <c r="Q21" s="14">
        <f>IF(M21="","n/a",IF(M21&lt;0.95,"Lead",IF(M21&gt;1.05,"Lag","Parity")))</f>
        <v/>
      </c>
      <c r="R21" s="14" t="inlineStr">
        <is>
          <t>unsupported</t>
        </is>
      </c>
      <c r="S21" s="14" t="inlineStr">
        <is>
          <t>unsupported</t>
        </is>
      </c>
      <c r="T21" s="14" t="n"/>
      <c r="U21" s="8" t="n"/>
      <c r="V21" s="8" t="n"/>
      <c r="W21" s="10" t="n"/>
      <c r="X21" s="10" t="n"/>
      <c r="Y21" s="10" t="n"/>
      <c r="Z21" s="10" t="n"/>
      <c r="AA21" s="6" t="inlineStr">
        <is>
          <t>UNSUPPORTED_PROFILE / input exceeds 256 cells</t>
        </is>
      </c>
      <c r="AB21" s="14" t="inlineStr">
        <is>
          <t>yes</t>
        </is>
      </c>
    </row>
    <row r="22">
      <c r="A22" s="14" t="inlineStr">
        <is>
          <t>stencil1d3</t>
        </is>
      </c>
      <c r="B22" s="14" t="inlineStr">
        <is>
          <t>stencil-1d</t>
        </is>
      </c>
      <c r="C22" s="14" t="inlineStr">
        <is>
          <t>l</t>
        </is>
      </c>
      <c r="D22" s="14" t="inlineStr">
        <is>
          <t>ramp</t>
        </is>
      </c>
      <c r="E22" s="14" t="inlineStr">
        <is>
          <t>4194302,0</t>
        </is>
      </c>
      <c r="F22" s="5" t="n">
        <v>4194302</v>
      </c>
      <c r="G22" s="15" t="n">
        <v>4595350</v>
      </c>
      <c r="H22" s="15" t="n">
        <v>4006400</v>
      </c>
      <c r="I22" s="17" t="n"/>
      <c r="J22" s="17" t="n"/>
      <c r="K22" s="17" t="n"/>
      <c r="L22" s="7">
        <f>IF(AND(ISNUMBER(I22),ISNUMBER(G22)),I22/G22,"")</f>
        <v/>
      </c>
      <c r="M22" s="7">
        <f>IF(AND(ISNUMBER(I22),ISNUMBER(H22)),I22/H22,"")</f>
        <v/>
      </c>
      <c r="N22" s="7">
        <f>IF(AND(ISNUMBER(H22),ISNUMBER(G22)),H22/G22,"")</f>
        <v/>
      </c>
      <c r="O22" s="9">
        <f>IF(AND(ISNUMBER(J22),ISNUMBER(G22)),J22/G22,"")</f>
        <v/>
      </c>
      <c r="P22" s="14">
        <f>IF(L22="","n/a",IF(L22&lt;0.95,"Lead",IF(L22&gt;1.05,"Lag","Parity")))</f>
        <v/>
      </c>
      <c r="Q22" s="14">
        <f>IF(M22="","n/a",IF(M22&lt;0.95,"Lead",IF(M22&gt;1.05,"Lag","Parity")))</f>
        <v/>
      </c>
      <c r="R22" s="14" t="inlineStr">
        <is>
          <t>unsupported</t>
        </is>
      </c>
      <c r="S22" s="14" t="inlineStr">
        <is>
          <t>unsupported</t>
        </is>
      </c>
      <c r="T22" s="14" t="n"/>
      <c r="U22" s="8" t="n"/>
      <c r="V22" s="8" t="n"/>
      <c r="W22" s="10" t="n"/>
      <c r="X22" s="10" t="n"/>
      <c r="Y22" s="10" t="n"/>
      <c r="Z22" s="10" t="n"/>
      <c r="AA22" s="6" t="inlineStr">
        <is>
          <t>UNSUPPORTED_PROFILE / input exceeds 256 cells</t>
        </is>
      </c>
      <c r="AB22" s="14" t="inlineStr">
        <is>
          <t>yes</t>
        </is>
      </c>
    </row>
    <row r="23">
      <c r="A23" s="14" t="inlineStr">
        <is>
          <t>box3x3</t>
        </is>
      </c>
      <c r="B23" s="14" t="inlineStr">
        <is>
          <t>stencil-2d</t>
        </is>
      </c>
      <c r="C23" s="14" t="inlineStr">
        <is>
          <t>s</t>
        </is>
      </c>
      <c r="D23" s="14" t="inlineStr">
        <is>
          <t>hash</t>
        </is>
      </c>
      <c r="E23" s="14" t="inlineStr">
        <is>
          <t>14,14</t>
        </is>
      </c>
      <c r="F23" s="5" t="n">
        <v>196</v>
      </c>
      <c r="G23" s="15" t="n">
        <v>482</v>
      </c>
      <c r="H23" s="15" t="n">
        <v>502</v>
      </c>
      <c r="I23" s="15" t="n">
        <v>311</v>
      </c>
      <c r="J23" s="15" t="n">
        <v>89714900</v>
      </c>
      <c r="K23" s="17" t="n"/>
      <c r="L23" s="7">
        <f>IF(AND(ISNUMBER(I23),ISNUMBER(G23)),I23/G23,"")</f>
        <v/>
      </c>
      <c r="M23" s="7">
        <f>IF(AND(ISNUMBER(I23),ISNUMBER(H23)),I23/H23,"")</f>
        <v/>
      </c>
      <c r="N23" s="7">
        <f>IF(AND(ISNUMBER(H23),ISNUMBER(G23)),H23/G23,"")</f>
        <v/>
      </c>
      <c r="O23" s="9">
        <f>IF(AND(ISNUMBER(J23),ISNUMBER(G23)),J23/G23,"")</f>
        <v/>
      </c>
      <c r="P23" s="14">
        <f>IF(L23="","n/a",IF(L23&lt;0.95,"Lead",IF(L23&gt;1.05,"Lag","Parity")))</f>
        <v/>
      </c>
      <c r="Q23" s="14">
        <f>IF(M23="","n/a",IF(M23&lt;0.95,"Lead",IF(M23&gt;1.05,"Lag","Parity")))</f>
        <v/>
      </c>
      <c r="R23" s="14" t="inlineStr">
        <is>
          <t>ok</t>
        </is>
      </c>
      <c r="S23" s="14" t="inlineStr">
        <is>
          <t>ok</t>
        </is>
      </c>
      <c r="T23" s="14" t="inlineStr">
        <is>
          <t>inline-v1</t>
        </is>
      </c>
      <c r="U23" s="5" t="n">
        <v>0</v>
      </c>
      <c r="V23" s="5" t="n">
        <v>0</v>
      </c>
      <c r="W23" s="16" t="n">
        <v>604.4</v>
      </c>
      <c r="X23" s="16" t="n">
        <v>96.3</v>
      </c>
      <c r="Y23" s="16" t="n">
        <v>508.1</v>
      </c>
      <c r="Z23" s="16" t="n">
        <v>286.1</v>
      </c>
      <c r="AA23" s="6" t="inlineStr"/>
      <c r="AB23" s="14" t="inlineStr">
        <is>
          <t>yes</t>
        </is>
      </c>
    </row>
    <row r="24">
      <c r="A24" s="14" t="inlineStr">
        <is>
          <t>box3x3</t>
        </is>
      </c>
      <c r="B24" s="14" t="inlineStr">
        <is>
          <t>stencil-2d</t>
        </is>
      </c>
      <c r="C24" s="14" t="inlineStr">
        <is>
          <t>s</t>
        </is>
      </c>
      <c r="D24" s="14" t="inlineStr">
        <is>
          <t>max</t>
        </is>
      </c>
      <c r="E24" s="14" t="inlineStr">
        <is>
          <t>14,14</t>
        </is>
      </c>
      <c r="F24" s="5" t="n">
        <v>196</v>
      </c>
      <c r="G24" s="15" t="n">
        <v>346</v>
      </c>
      <c r="H24" s="15" t="n">
        <v>419</v>
      </c>
      <c r="I24" s="15" t="n">
        <v>307</v>
      </c>
      <c r="J24" s="15" t="n">
        <v>88115200</v>
      </c>
      <c r="K24" s="17" t="n"/>
      <c r="L24" s="7">
        <f>IF(AND(ISNUMBER(I24),ISNUMBER(G24)),I24/G24,"")</f>
        <v/>
      </c>
      <c r="M24" s="7">
        <f>IF(AND(ISNUMBER(I24),ISNUMBER(H24)),I24/H24,"")</f>
        <v/>
      </c>
      <c r="N24" s="7">
        <f>IF(AND(ISNUMBER(H24),ISNUMBER(G24)),H24/G24,"")</f>
        <v/>
      </c>
      <c r="O24" s="9">
        <f>IF(AND(ISNUMBER(J24),ISNUMBER(G24)),J24/G24,"")</f>
        <v/>
      </c>
      <c r="P24" s="14">
        <f>IF(L24="","n/a",IF(L24&lt;0.95,"Lead",IF(L24&gt;1.05,"Lag","Parity")))</f>
        <v/>
      </c>
      <c r="Q24" s="14">
        <f>IF(M24="","n/a",IF(M24&lt;0.95,"Lead",IF(M24&gt;1.05,"Lag","Parity")))</f>
        <v/>
      </c>
      <c r="R24" s="14" t="inlineStr">
        <is>
          <t>ok</t>
        </is>
      </c>
      <c r="S24" s="14" t="inlineStr">
        <is>
          <t>ok</t>
        </is>
      </c>
      <c r="T24" s="14" t="inlineStr">
        <is>
          <t>inline-v1</t>
        </is>
      </c>
      <c r="U24" s="5" t="n">
        <v>0</v>
      </c>
      <c r="V24" s="5" t="n">
        <v>0</v>
      </c>
      <c r="W24" s="16" t="n">
        <v>497.7</v>
      </c>
      <c r="X24" s="16" t="n">
        <v>85.5</v>
      </c>
      <c r="Y24" s="16" t="n">
        <v>412.2</v>
      </c>
      <c r="Z24" s="16" t="n">
        <v>282.4</v>
      </c>
      <c r="AA24" s="6" t="inlineStr"/>
      <c r="AB24" s="14" t="inlineStr">
        <is>
          <t>yes</t>
        </is>
      </c>
    </row>
    <row r="25">
      <c r="A25" s="14" t="inlineStr">
        <is>
          <t>box3x3</t>
        </is>
      </c>
      <c r="B25" s="14" t="inlineStr">
        <is>
          <t>stencil-2d</t>
        </is>
      </c>
      <c r="C25" s="14" t="inlineStr">
        <is>
          <t>s</t>
        </is>
      </c>
      <c r="D25" s="14" t="inlineStr">
        <is>
          <t>ramp</t>
        </is>
      </c>
      <c r="E25" s="14" t="inlineStr">
        <is>
          <t>14,14</t>
        </is>
      </c>
      <c r="F25" s="5" t="n">
        <v>196</v>
      </c>
      <c r="G25" s="15" t="n">
        <v>349</v>
      </c>
      <c r="H25" s="15" t="n">
        <v>506</v>
      </c>
      <c r="I25" s="15" t="n">
        <v>305</v>
      </c>
      <c r="J25" s="15" t="n">
        <v>136965400</v>
      </c>
      <c r="K25" s="17" t="n"/>
      <c r="L25" s="7">
        <f>IF(AND(ISNUMBER(I25),ISNUMBER(G25)),I25/G25,"")</f>
        <v/>
      </c>
      <c r="M25" s="7">
        <f>IF(AND(ISNUMBER(I25),ISNUMBER(H25)),I25/H25,"")</f>
        <v/>
      </c>
      <c r="N25" s="7">
        <f>IF(AND(ISNUMBER(H25),ISNUMBER(G25)),H25/G25,"")</f>
        <v/>
      </c>
      <c r="O25" s="9">
        <f>IF(AND(ISNUMBER(J25),ISNUMBER(G25)),J25/G25,"")</f>
        <v/>
      </c>
      <c r="P25" s="14">
        <f>IF(L25="","n/a",IF(L25&lt;0.95,"Lead",IF(L25&gt;1.05,"Lag","Parity")))</f>
        <v/>
      </c>
      <c r="Q25" s="14">
        <f>IF(M25="","n/a",IF(M25&lt;0.95,"Lead",IF(M25&gt;1.05,"Lag","Parity")))</f>
        <v/>
      </c>
      <c r="R25" s="14" t="inlineStr">
        <is>
          <t>ok</t>
        </is>
      </c>
      <c r="S25" s="14" t="inlineStr">
        <is>
          <t>ok</t>
        </is>
      </c>
      <c r="T25" s="14" t="inlineStr">
        <is>
          <t>inline-v1</t>
        </is>
      </c>
      <c r="U25" s="5" t="n">
        <v>0</v>
      </c>
      <c r="V25" s="5" t="n">
        <v>0</v>
      </c>
      <c r="W25" s="16" t="n">
        <v>573.4</v>
      </c>
      <c r="X25" s="16" t="n">
        <v>109.5</v>
      </c>
      <c r="Y25" s="16" t="n">
        <v>463.8</v>
      </c>
      <c r="Z25" s="16" t="n">
        <v>354.9</v>
      </c>
      <c r="AA25" s="6" t="inlineStr"/>
      <c r="AB25" s="14" t="inlineStr">
        <is>
          <t>yes</t>
        </is>
      </c>
    </row>
    <row r="26">
      <c r="A26" s="14" t="inlineStr">
        <is>
          <t>box3x3</t>
        </is>
      </c>
      <c r="B26" s="14" t="inlineStr">
        <is>
          <t>stencil-2d</t>
        </is>
      </c>
      <c r="C26" s="14" t="inlineStr">
        <is>
          <t>m</t>
        </is>
      </c>
      <c r="D26" s="14" t="inlineStr">
        <is>
          <t>hash</t>
        </is>
      </c>
      <c r="E26" s="14" t="inlineStr">
        <is>
          <t>254,254</t>
        </is>
      </c>
      <c r="F26" s="5" t="n">
        <v>64516</v>
      </c>
      <c r="G26" s="15" t="n">
        <v>115406</v>
      </c>
      <c r="H26" s="15" t="n">
        <v>55337</v>
      </c>
      <c r="I26" s="17" t="n"/>
      <c r="J26" s="17" t="n"/>
      <c r="K26" s="17" t="n"/>
      <c r="L26" s="7">
        <f>IF(AND(ISNUMBER(I26),ISNUMBER(G26)),I26/G26,"")</f>
        <v/>
      </c>
      <c r="M26" s="7">
        <f>IF(AND(ISNUMBER(I26),ISNUMBER(H26)),I26/H26,"")</f>
        <v/>
      </c>
      <c r="N26" s="7">
        <f>IF(AND(ISNUMBER(H26),ISNUMBER(G26)),H26/G26,"")</f>
        <v/>
      </c>
      <c r="O26" s="9">
        <f>IF(AND(ISNUMBER(J26),ISNUMBER(G26)),J26/G26,"")</f>
        <v/>
      </c>
      <c r="P26" s="14">
        <f>IF(L26="","n/a",IF(L26&lt;0.95,"Lead",IF(L26&gt;1.05,"Lag","Parity")))</f>
        <v/>
      </c>
      <c r="Q26" s="14">
        <f>IF(M26="","n/a",IF(M26&lt;0.95,"Lead",IF(M26&gt;1.05,"Lag","Parity")))</f>
        <v/>
      </c>
      <c r="R26" s="14" t="inlineStr">
        <is>
          <t>unsupported</t>
        </is>
      </c>
      <c r="S26" s="14" t="inlineStr">
        <is>
          <t>unsupported</t>
        </is>
      </c>
      <c r="T26" s="14" t="n"/>
      <c r="U26" s="8" t="n"/>
      <c r="V26" s="8" t="n"/>
      <c r="W26" s="10" t="n"/>
      <c r="X26" s="10" t="n"/>
      <c r="Y26" s="10" t="n"/>
      <c r="Z26" s="10" t="n"/>
      <c r="AA26" s="6" t="inlineStr">
        <is>
          <t>UNSUPPORTED_PROFILE / input exceeds 256 cells</t>
        </is>
      </c>
      <c r="AB26" s="14" t="inlineStr">
        <is>
          <t>yes</t>
        </is>
      </c>
    </row>
    <row r="27">
      <c r="A27" s="14" t="inlineStr">
        <is>
          <t>box3x3</t>
        </is>
      </c>
      <c r="B27" s="14" t="inlineStr">
        <is>
          <t>stencil-2d</t>
        </is>
      </c>
      <c r="C27" s="14" t="inlineStr">
        <is>
          <t>m</t>
        </is>
      </c>
      <c r="D27" s="14" t="inlineStr">
        <is>
          <t>max</t>
        </is>
      </c>
      <c r="E27" s="14" t="inlineStr">
        <is>
          <t>254,254</t>
        </is>
      </c>
      <c r="F27" s="5" t="n">
        <v>64516</v>
      </c>
      <c r="G27" s="15" t="n">
        <v>104887</v>
      </c>
      <c r="H27" s="15" t="n">
        <v>77237</v>
      </c>
      <c r="I27" s="17" t="n"/>
      <c r="J27" s="17" t="n"/>
      <c r="K27" s="17" t="n"/>
      <c r="L27" s="7">
        <f>IF(AND(ISNUMBER(I27),ISNUMBER(G27)),I27/G27,"")</f>
        <v/>
      </c>
      <c r="M27" s="7">
        <f>IF(AND(ISNUMBER(I27),ISNUMBER(H27)),I27/H27,"")</f>
        <v/>
      </c>
      <c r="N27" s="7">
        <f>IF(AND(ISNUMBER(H27),ISNUMBER(G27)),H27/G27,"")</f>
        <v/>
      </c>
      <c r="O27" s="9">
        <f>IF(AND(ISNUMBER(J27),ISNUMBER(G27)),J27/G27,"")</f>
        <v/>
      </c>
      <c r="P27" s="14">
        <f>IF(L27="","n/a",IF(L27&lt;0.95,"Lead",IF(L27&gt;1.05,"Lag","Parity")))</f>
        <v/>
      </c>
      <c r="Q27" s="14">
        <f>IF(M27="","n/a",IF(M27&lt;0.95,"Lead",IF(M27&gt;1.05,"Lag","Parity")))</f>
        <v/>
      </c>
      <c r="R27" s="14" t="inlineStr">
        <is>
          <t>unsupported</t>
        </is>
      </c>
      <c r="S27" s="14" t="inlineStr">
        <is>
          <t>unsupported</t>
        </is>
      </c>
      <c r="T27" s="14" t="n"/>
      <c r="U27" s="8" t="n"/>
      <c r="V27" s="8" t="n"/>
      <c r="W27" s="10" t="n"/>
      <c r="X27" s="10" t="n"/>
      <c r="Y27" s="10" t="n"/>
      <c r="Z27" s="10" t="n"/>
      <c r="AA27" s="6" t="inlineStr">
        <is>
          <t>UNSUPPORTED_PROFILE / input exceeds 256 cells</t>
        </is>
      </c>
      <c r="AB27" s="14" t="inlineStr">
        <is>
          <t>yes</t>
        </is>
      </c>
    </row>
    <row r="28">
      <c r="A28" s="14" t="inlineStr">
        <is>
          <t>box3x3</t>
        </is>
      </c>
      <c r="B28" s="14" t="inlineStr">
        <is>
          <t>stencil-2d</t>
        </is>
      </c>
      <c r="C28" s="14" t="inlineStr">
        <is>
          <t>m</t>
        </is>
      </c>
      <c r="D28" s="14" t="inlineStr">
        <is>
          <t>ramp</t>
        </is>
      </c>
      <c r="E28" s="14" t="inlineStr">
        <is>
          <t>254,254</t>
        </is>
      </c>
      <c r="F28" s="5" t="n">
        <v>64516</v>
      </c>
      <c r="G28" s="15" t="n">
        <v>104212</v>
      </c>
      <c r="H28" s="15" t="n">
        <v>62701</v>
      </c>
      <c r="I28" s="17" t="n"/>
      <c r="J28" s="17" t="n"/>
      <c r="K28" s="17" t="n"/>
      <c r="L28" s="7">
        <f>IF(AND(ISNUMBER(I28),ISNUMBER(G28)),I28/G28,"")</f>
        <v/>
      </c>
      <c r="M28" s="7">
        <f>IF(AND(ISNUMBER(I28),ISNUMBER(H28)),I28/H28,"")</f>
        <v/>
      </c>
      <c r="N28" s="7">
        <f>IF(AND(ISNUMBER(H28),ISNUMBER(G28)),H28/G28,"")</f>
        <v/>
      </c>
      <c r="O28" s="9">
        <f>IF(AND(ISNUMBER(J28),ISNUMBER(G28)),J28/G28,"")</f>
        <v/>
      </c>
      <c r="P28" s="14">
        <f>IF(L28="","n/a",IF(L28&lt;0.95,"Lead",IF(L28&gt;1.05,"Lag","Parity")))</f>
        <v/>
      </c>
      <c r="Q28" s="14">
        <f>IF(M28="","n/a",IF(M28&lt;0.95,"Lead",IF(M28&gt;1.05,"Lag","Parity")))</f>
        <v/>
      </c>
      <c r="R28" s="14" t="inlineStr">
        <is>
          <t>unsupported</t>
        </is>
      </c>
      <c r="S28" s="14" t="inlineStr">
        <is>
          <t>unsupported</t>
        </is>
      </c>
      <c r="T28" s="14" t="n"/>
      <c r="U28" s="8" t="n"/>
      <c r="V28" s="8" t="n"/>
      <c r="W28" s="10" t="n"/>
      <c r="X28" s="10" t="n"/>
      <c r="Y28" s="10" t="n"/>
      <c r="Z28" s="10" t="n"/>
      <c r="AA28" s="6" t="inlineStr">
        <is>
          <t>UNSUPPORTED_PROFILE / input exceeds 256 cells</t>
        </is>
      </c>
      <c r="AB28" s="14" t="inlineStr">
        <is>
          <t>yes</t>
        </is>
      </c>
    </row>
    <row r="29">
      <c r="A29" s="14" t="inlineStr">
        <is>
          <t>box3x3</t>
        </is>
      </c>
      <c r="B29" s="14" t="inlineStr">
        <is>
          <t>stencil-2d</t>
        </is>
      </c>
      <c r="C29" s="14" t="inlineStr">
        <is>
          <t>l</t>
        </is>
      </c>
      <c r="D29" s="14" t="inlineStr">
        <is>
          <t>hash</t>
        </is>
      </c>
      <c r="E29" s="14" t="inlineStr">
        <is>
          <t>2046,2046</t>
        </is>
      </c>
      <c r="F29" s="5" t="n">
        <v>4186116</v>
      </c>
      <c r="G29" s="15" t="n">
        <v>6969000</v>
      </c>
      <c r="H29" s="15" t="n">
        <v>4227100</v>
      </c>
      <c r="I29" s="17" t="n"/>
      <c r="J29" s="17" t="n"/>
      <c r="K29" s="17" t="n"/>
      <c r="L29" s="7">
        <f>IF(AND(ISNUMBER(I29),ISNUMBER(G29)),I29/G29,"")</f>
        <v/>
      </c>
      <c r="M29" s="7">
        <f>IF(AND(ISNUMBER(I29),ISNUMBER(H29)),I29/H29,"")</f>
        <v/>
      </c>
      <c r="N29" s="7">
        <f>IF(AND(ISNUMBER(H29),ISNUMBER(G29)),H29/G29,"")</f>
        <v/>
      </c>
      <c r="O29" s="9">
        <f>IF(AND(ISNUMBER(J29),ISNUMBER(G29)),J29/G29,"")</f>
        <v/>
      </c>
      <c r="P29" s="14">
        <f>IF(L29="","n/a",IF(L29&lt;0.95,"Lead",IF(L29&gt;1.05,"Lag","Parity")))</f>
        <v/>
      </c>
      <c r="Q29" s="14">
        <f>IF(M29="","n/a",IF(M29&lt;0.95,"Lead",IF(M29&gt;1.05,"Lag","Parity")))</f>
        <v/>
      </c>
      <c r="R29" s="14" t="inlineStr">
        <is>
          <t>unsupported</t>
        </is>
      </c>
      <c r="S29" s="14" t="inlineStr">
        <is>
          <t>unsupported</t>
        </is>
      </c>
      <c r="T29" s="14" t="n"/>
      <c r="U29" s="8" t="n"/>
      <c r="V29" s="8" t="n"/>
      <c r="W29" s="10" t="n"/>
      <c r="X29" s="10" t="n"/>
      <c r="Y29" s="10" t="n"/>
      <c r="Z29" s="10" t="n"/>
      <c r="AA29" s="6" t="inlineStr">
        <is>
          <t>UNSUPPORTED_PROFILE / input exceeds 256 cells</t>
        </is>
      </c>
      <c r="AB29" s="14" t="inlineStr">
        <is>
          <t>yes</t>
        </is>
      </c>
    </row>
    <row r="30">
      <c r="A30" s="14" t="inlineStr">
        <is>
          <t>box3x3</t>
        </is>
      </c>
      <c r="B30" s="14" t="inlineStr">
        <is>
          <t>stencil-2d</t>
        </is>
      </c>
      <c r="C30" s="14" t="inlineStr">
        <is>
          <t>l</t>
        </is>
      </c>
      <c r="D30" s="14" t="inlineStr">
        <is>
          <t>max</t>
        </is>
      </c>
      <c r="E30" s="14" t="inlineStr">
        <is>
          <t>2046,2046</t>
        </is>
      </c>
      <c r="F30" s="5" t="n">
        <v>4186116</v>
      </c>
      <c r="G30" s="15" t="n">
        <v>7051400</v>
      </c>
      <c r="H30" s="15" t="n">
        <v>4572500</v>
      </c>
      <c r="I30" s="17" t="n"/>
      <c r="J30" s="17" t="n"/>
      <c r="K30" s="17" t="n"/>
      <c r="L30" s="7">
        <f>IF(AND(ISNUMBER(I30),ISNUMBER(G30)),I30/G30,"")</f>
        <v/>
      </c>
      <c r="M30" s="7">
        <f>IF(AND(ISNUMBER(I30),ISNUMBER(H30)),I30/H30,"")</f>
        <v/>
      </c>
      <c r="N30" s="7">
        <f>IF(AND(ISNUMBER(H30),ISNUMBER(G30)),H30/G30,"")</f>
        <v/>
      </c>
      <c r="O30" s="9">
        <f>IF(AND(ISNUMBER(J30),ISNUMBER(G30)),J30/G30,"")</f>
        <v/>
      </c>
      <c r="P30" s="14">
        <f>IF(L30="","n/a",IF(L30&lt;0.95,"Lead",IF(L30&gt;1.05,"Lag","Parity")))</f>
        <v/>
      </c>
      <c r="Q30" s="14">
        <f>IF(M30="","n/a",IF(M30&lt;0.95,"Lead",IF(M30&gt;1.05,"Lag","Parity")))</f>
        <v/>
      </c>
      <c r="R30" s="14" t="inlineStr">
        <is>
          <t>unsupported</t>
        </is>
      </c>
      <c r="S30" s="14" t="inlineStr">
        <is>
          <t>unsupported</t>
        </is>
      </c>
      <c r="T30" s="14" t="n"/>
      <c r="U30" s="8" t="n"/>
      <c r="V30" s="8" t="n"/>
      <c r="W30" s="10" t="n"/>
      <c r="X30" s="10" t="n"/>
      <c r="Y30" s="10" t="n"/>
      <c r="Z30" s="10" t="n"/>
      <c r="AA30" s="6" t="inlineStr">
        <is>
          <t>UNSUPPORTED_PROFILE / input exceeds 256 cells</t>
        </is>
      </c>
      <c r="AB30" s="14" t="inlineStr">
        <is>
          <t>yes</t>
        </is>
      </c>
    </row>
    <row r="31">
      <c r="A31" s="14" t="inlineStr">
        <is>
          <t>box3x3</t>
        </is>
      </c>
      <c r="B31" s="14" t="inlineStr">
        <is>
          <t>stencil-2d</t>
        </is>
      </c>
      <c r="C31" s="14" t="inlineStr">
        <is>
          <t>l</t>
        </is>
      </c>
      <c r="D31" s="14" t="inlineStr">
        <is>
          <t>ramp</t>
        </is>
      </c>
      <c r="E31" s="14" t="inlineStr">
        <is>
          <t>2046,2046</t>
        </is>
      </c>
      <c r="F31" s="5" t="n">
        <v>4186116</v>
      </c>
      <c r="G31" s="15" t="n">
        <v>7203250</v>
      </c>
      <c r="H31" s="15" t="n">
        <v>4348000</v>
      </c>
      <c r="I31" s="17" t="n"/>
      <c r="J31" s="17" t="n"/>
      <c r="K31" s="17" t="n"/>
      <c r="L31" s="7">
        <f>IF(AND(ISNUMBER(I31),ISNUMBER(G31)),I31/G31,"")</f>
        <v/>
      </c>
      <c r="M31" s="7">
        <f>IF(AND(ISNUMBER(I31),ISNUMBER(H31)),I31/H31,"")</f>
        <v/>
      </c>
      <c r="N31" s="7">
        <f>IF(AND(ISNUMBER(H31),ISNUMBER(G31)),H31/G31,"")</f>
        <v/>
      </c>
      <c r="O31" s="9">
        <f>IF(AND(ISNUMBER(J31),ISNUMBER(G31)),J31/G31,"")</f>
        <v/>
      </c>
      <c r="P31" s="14">
        <f>IF(L31="","n/a",IF(L31&lt;0.95,"Lead",IF(L31&gt;1.05,"Lag","Parity")))</f>
        <v/>
      </c>
      <c r="Q31" s="14">
        <f>IF(M31="","n/a",IF(M31&lt;0.95,"Lead",IF(M31&gt;1.05,"Lag","Parity")))</f>
        <v/>
      </c>
      <c r="R31" s="14" t="inlineStr">
        <is>
          <t>unsupported</t>
        </is>
      </c>
      <c r="S31" s="14" t="inlineStr">
        <is>
          <t>unsupported</t>
        </is>
      </c>
      <c r="T31" s="14" t="n"/>
      <c r="U31" s="8" t="n"/>
      <c r="V31" s="8" t="n"/>
      <c r="W31" s="10" t="n"/>
      <c r="X31" s="10" t="n"/>
      <c r="Y31" s="10" t="n"/>
      <c r="Z31" s="10" t="n"/>
      <c r="AA31" s="6" t="inlineStr">
        <is>
          <t>UNSUPPORTED_PROFILE / input exceeds 256 cells</t>
        </is>
      </c>
      <c r="AB31" s="14" t="inlineStr">
        <is>
          <t>yes</t>
        </is>
      </c>
    </row>
    <row r="32">
      <c r="A32" s="14" t="inlineStr">
        <is>
          <t>laplace5</t>
        </is>
      </c>
      <c r="B32" s="14" t="inlineStr">
        <is>
          <t>stencil-2d</t>
        </is>
      </c>
      <c r="C32" s="14" t="inlineStr">
        <is>
          <t>s</t>
        </is>
      </c>
      <c r="D32" s="14" t="inlineStr">
        <is>
          <t>hash</t>
        </is>
      </c>
      <c r="E32" s="14" t="inlineStr">
        <is>
          <t>14,14</t>
        </is>
      </c>
      <c r="F32" s="5" t="n">
        <v>196</v>
      </c>
      <c r="G32" s="15" t="n">
        <v>227</v>
      </c>
      <c r="H32" s="15" t="n">
        <v>348</v>
      </c>
      <c r="I32" s="15" t="n">
        <v>209</v>
      </c>
      <c r="J32" s="15" t="n">
        <v>79860400</v>
      </c>
      <c r="K32" s="17" t="n"/>
      <c r="L32" s="7">
        <f>IF(AND(ISNUMBER(I32),ISNUMBER(G32)),I32/G32,"")</f>
        <v/>
      </c>
      <c r="M32" s="7">
        <f>IF(AND(ISNUMBER(I32),ISNUMBER(H32)),I32/H32,"")</f>
        <v/>
      </c>
      <c r="N32" s="7">
        <f>IF(AND(ISNUMBER(H32),ISNUMBER(G32)),H32/G32,"")</f>
        <v/>
      </c>
      <c r="O32" s="9">
        <f>IF(AND(ISNUMBER(J32),ISNUMBER(G32)),J32/G32,"")</f>
        <v/>
      </c>
      <c r="P32" s="14">
        <f>IF(L32="","n/a",IF(L32&lt;0.95,"Lead",IF(L32&gt;1.05,"Lag","Parity")))</f>
        <v/>
      </c>
      <c r="Q32" s="14">
        <f>IF(M32="","n/a",IF(M32&lt;0.95,"Lead",IF(M32&gt;1.05,"Lag","Parity")))</f>
        <v/>
      </c>
      <c r="R32" s="14" t="inlineStr">
        <is>
          <t>ok</t>
        </is>
      </c>
      <c r="S32" s="14" t="inlineStr">
        <is>
          <t>ok</t>
        </is>
      </c>
      <c r="T32" s="14" t="inlineStr">
        <is>
          <t>inline-v1</t>
        </is>
      </c>
      <c r="U32" s="5" t="n">
        <v>980</v>
      </c>
      <c r="V32" s="5" t="n">
        <v>0</v>
      </c>
      <c r="W32" s="16" t="n">
        <v>469</v>
      </c>
      <c r="X32" s="16" t="n">
        <v>101.9</v>
      </c>
      <c r="Y32" s="16" t="n">
        <v>367.1</v>
      </c>
      <c r="Z32" s="16" t="n">
        <v>309.1</v>
      </c>
      <c r="AA32" s="6" t="inlineStr"/>
      <c r="AB32" s="14" t="inlineStr">
        <is>
          <t>yes</t>
        </is>
      </c>
    </row>
    <row r="33">
      <c r="A33" s="14" t="inlineStr">
        <is>
          <t>laplace5</t>
        </is>
      </c>
      <c r="B33" s="14" t="inlineStr">
        <is>
          <t>stencil-2d</t>
        </is>
      </c>
      <c r="C33" s="14" t="inlineStr">
        <is>
          <t>s</t>
        </is>
      </c>
      <c r="D33" s="14" t="inlineStr">
        <is>
          <t>max</t>
        </is>
      </c>
      <c r="E33" s="14" t="inlineStr">
        <is>
          <t>14,14</t>
        </is>
      </c>
      <c r="F33" s="5" t="n">
        <v>196</v>
      </c>
      <c r="G33" s="15" t="n">
        <v>227</v>
      </c>
      <c r="H33" s="15" t="n">
        <v>349</v>
      </c>
      <c r="I33" s="15" t="n">
        <v>199</v>
      </c>
      <c r="J33" s="15" t="n">
        <v>83811000</v>
      </c>
      <c r="K33" s="17" t="n"/>
      <c r="L33" s="7">
        <f>IF(AND(ISNUMBER(I33),ISNUMBER(G33)),I33/G33,"")</f>
        <v/>
      </c>
      <c r="M33" s="7">
        <f>IF(AND(ISNUMBER(I33),ISNUMBER(H33)),I33/H33,"")</f>
        <v/>
      </c>
      <c r="N33" s="7">
        <f>IF(AND(ISNUMBER(H33),ISNUMBER(G33)),H33/G33,"")</f>
        <v/>
      </c>
      <c r="O33" s="9">
        <f>IF(AND(ISNUMBER(J33),ISNUMBER(G33)),J33/G33,"")</f>
        <v/>
      </c>
      <c r="P33" s="14">
        <f>IF(L33="","n/a",IF(L33&lt;0.95,"Lead",IF(L33&gt;1.05,"Lag","Parity")))</f>
        <v/>
      </c>
      <c r="Q33" s="14">
        <f>IF(M33="","n/a",IF(M33&lt;0.95,"Lead",IF(M33&gt;1.05,"Lag","Parity")))</f>
        <v/>
      </c>
      <c r="R33" s="14" t="inlineStr">
        <is>
          <t>ok</t>
        </is>
      </c>
      <c r="S33" s="14" t="inlineStr">
        <is>
          <t>ok</t>
        </is>
      </c>
      <c r="T33" s="14" t="inlineStr">
        <is>
          <t>inline-v1</t>
        </is>
      </c>
      <c r="U33" s="5" t="n">
        <v>980</v>
      </c>
      <c r="V33" s="5" t="n">
        <v>0</v>
      </c>
      <c r="W33" s="16" t="n">
        <v>512.9</v>
      </c>
      <c r="X33" s="16" t="n">
        <v>108.8</v>
      </c>
      <c r="Y33" s="16" t="n">
        <v>404.2</v>
      </c>
      <c r="Z33" s="16" t="n">
        <v>321.9</v>
      </c>
      <c r="AA33" s="6" t="inlineStr"/>
      <c r="AB33" s="14" t="inlineStr">
        <is>
          <t>yes</t>
        </is>
      </c>
    </row>
    <row r="34">
      <c r="A34" s="14" t="inlineStr">
        <is>
          <t>laplace5</t>
        </is>
      </c>
      <c r="B34" s="14" t="inlineStr">
        <is>
          <t>stencil-2d</t>
        </is>
      </c>
      <c r="C34" s="14" t="inlineStr">
        <is>
          <t>s</t>
        </is>
      </c>
      <c r="D34" s="14" t="inlineStr">
        <is>
          <t>ramp</t>
        </is>
      </c>
      <c r="E34" s="14" t="inlineStr">
        <is>
          <t>14,14</t>
        </is>
      </c>
      <c r="F34" s="5" t="n">
        <v>196</v>
      </c>
      <c r="G34" s="15" t="n">
        <v>228</v>
      </c>
      <c r="H34" s="15" t="n">
        <v>402</v>
      </c>
      <c r="I34" s="15" t="n">
        <v>197</v>
      </c>
      <c r="J34" s="15" t="n">
        <v>80631700</v>
      </c>
      <c r="K34" s="17" t="n"/>
      <c r="L34" s="7">
        <f>IF(AND(ISNUMBER(I34),ISNUMBER(G34)),I34/G34,"")</f>
        <v/>
      </c>
      <c r="M34" s="7">
        <f>IF(AND(ISNUMBER(I34),ISNUMBER(H34)),I34/H34,"")</f>
        <v/>
      </c>
      <c r="N34" s="7">
        <f>IF(AND(ISNUMBER(H34),ISNUMBER(G34)),H34/G34,"")</f>
        <v/>
      </c>
      <c r="O34" s="9">
        <f>IF(AND(ISNUMBER(J34),ISNUMBER(G34)),J34/G34,"")</f>
        <v/>
      </c>
      <c r="P34" s="14">
        <f>IF(L34="","n/a",IF(L34&lt;0.95,"Lead",IF(L34&gt;1.05,"Lag","Parity")))</f>
        <v/>
      </c>
      <c r="Q34" s="14">
        <f>IF(M34="","n/a",IF(M34&lt;0.95,"Lead",IF(M34&gt;1.05,"Lag","Parity")))</f>
        <v/>
      </c>
      <c r="R34" s="14" t="inlineStr">
        <is>
          <t>ok</t>
        </is>
      </c>
      <c r="S34" s="14" t="inlineStr">
        <is>
          <t>ok</t>
        </is>
      </c>
      <c r="T34" s="14" t="inlineStr">
        <is>
          <t>inline-v1</t>
        </is>
      </c>
      <c r="U34" s="5" t="n">
        <v>980</v>
      </c>
      <c r="V34" s="5" t="n">
        <v>0</v>
      </c>
      <c r="W34" s="16" t="n">
        <v>475.1</v>
      </c>
      <c r="X34" s="16" t="n">
        <v>101.3</v>
      </c>
      <c r="Y34" s="16" t="n">
        <v>373.7</v>
      </c>
      <c r="Z34" s="16" t="n">
        <v>313.5</v>
      </c>
      <c r="AA34" s="6" t="inlineStr"/>
      <c r="AB34" s="14" t="inlineStr">
        <is>
          <t>yes</t>
        </is>
      </c>
    </row>
    <row r="35">
      <c r="A35" s="14" t="inlineStr">
        <is>
          <t>laplace5</t>
        </is>
      </c>
      <c r="B35" s="14" t="inlineStr">
        <is>
          <t>stencil-2d</t>
        </is>
      </c>
      <c r="C35" s="14" t="inlineStr">
        <is>
          <t>m</t>
        </is>
      </c>
      <c r="D35" s="14" t="inlineStr">
        <is>
          <t>hash</t>
        </is>
      </c>
      <c r="E35" s="14" t="inlineStr">
        <is>
          <t>254,254</t>
        </is>
      </c>
      <c r="F35" s="5" t="n">
        <v>64516</v>
      </c>
      <c r="G35" s="15" t="n">
        <v>65287</v>
      </c>
      <c r="H35" s="15" t="n">
        <v>64884</v>
      </c>
      <c r="I35" s="17" t="n"/>
      <c r="J35" s="17" t="n"/>
      <c r="K35" s="17" t="n"/>
      <c r="L35" s="7">
        <f>IF(AND(ISNUMBER(I35),ISNUMBER(G35)),I35/G35,"")</f>
        <v/>
      </c>
      <c r="M35" s="7">
        <f>IF(AND(ISNUMBER(I35),ISNUMBER(H35)),I35/H35,"")</f>
        <v/>
      </c>
      <c r="N35" s="7">
        <f>IF(AND(ISNUMBER(H35),ISNUMBER(G35)),H35/G35,"")</f>
        <v/>
      </c>
      <c r="O35" s="9">
        <f>IF(AND(ISNUMBER(J35),ISNUMBER(G35)),J35/G35,"")</f>
        <v/>
      </c>
      <c r="P35" s="14">
        <f>IF(L35="","n/a",IF(L35&lt;0.95,"Lead",IF(L35&gt;1.05,"Lag","Parity")))</f>
        <v/>
      </c>
      <c r="Q35" s="14">
        <f>IF(M35="","n/a",IF(M35&lt;0.95,"Lead",IF(M35&gt;1.05,"Lag","Parity")))</f>
        <v/>
      </c>
      <c r="R35" s="14" t="inlineStr">
        <is>
          <t>unsupported</t>
        </is>
      </c>
      <c r="S35" s="14" t="inlineStr">
        <is>
          <t>unsupported</t>
        </is>
      </c>
      <c r="T35" s="14" t="n"/>
      <c r="U35" s="8" t="n"/>
      <c r="V35" s="8" t="n"/>
      <c r="W35" s="10" t="n"/>
      <c r="X35" s="10" t="n"/>
      <c r="Y35" s="10" t="n"/>
      <c r="Z35" s="10" t="n"/>
      <c r="AA35" s="6" t="inlineStr">
        <is>
          <t>UNSUPPORTED_PROFILE / input exceeds 256 cells</t>
        </is>
      </c>
      <c r="AB35" s="14" t="inlineStr">
        <is>
          <t>yes</t>
        </is>
      </c>
    </row>
    <row r="36">
      <c r="A36" s="14" t="inlineStr">
        <is>
          <t>laplace5</t>
        </is>
      </c>
      <c r="B36" s="14" t="inlineStr">
        <is>
          <t>stencil-2d</t>
        </is>
      </c>
      <c r="C36" s="14" t="inlineStr">
        <is>
          <t>m</t>
        </is>
      </c>
      <c r="D36" s="14" t="inlineStr">
        <is>
          <t>max</t>
        </is>
      </c>
      <c r="E36" s="14" t="inlineStr">
        <is>
          <t>254,254</t>
        </is>
      </c>
      <c r="F36" s="5" t="n">
        <v>64516</v>
      </c>
      <c r="G36" s="15" t="n">
        <v>65312</v>
      </c>
      <c r="H36" s="15" t="n">
        <v>64862</v>
      </c>
      <c r="I36" s="17" t="n"/>
      <c r="J36" s="17" t="n"/>
      <c r="K36" s="17" t="n"/>
      <c r="L36" s="7">
        <f>IF(AND(ISNUMBER(I36),ISNUMBER(G36)),I36/G36,"")</f>
        <v/>
      </c>
      <c r="M36" s="7">
        <f>IF(AND(ISNUMBER(I36),ISNUMBER(H36)),I36/H36,"")</f>
        <v/>
      </c>
      <c r="N36" s="7">
        <f>IF(AND(ISNUMBER(H36),ISNUMBER(G36)),H36/G36,"")</f>
        <v/>
      </c>
      <c r="O36" s="9">
        <f>IF(AND(ISNUMBER(J36),ISNUMBER(G36)),J36/G36,"")</f>
        <v/>
      </c>
      <c r="P36" s="14">
        <f>IF(L36="","n/a",IF(L36&lt;0.95,"Lead",IF(L36&gt;1.05,"Lag","Parity")))</f>
        <v/>
      </c>
      <c r="Q36" s="14">
        <f>IF(M36="","n/a",IF(M36&lt;0.95,"Lead",IF(M36&gt;1.05,"Lag","Parity")))</f>
        <v/>
      </c>
      <c r="R36" s="14" t="inlineStr">
        <is>
          <t>unsupported</t>
        </is>
      </c>
      <c r="S36" s="14" t="inlineStr">
        <is>
          <t>unsupported</t>
        </is>
      </c>
      <c r="T36" s="14" t="n"/>
      <c r="U36" s="8" t="n"/>
      <c r="V36" s="8" t="n"/>
      <c r="W36" s="10" t="n"/>
      <c r="X36" s="10" t="n"/>
      <c r="Y36" s="10" t="n"/>
      <c r="Z36" s="10" t="n"/>
      <c r="AA36" s="6" t="inlineStr">
        <is>
          <t>UNSUPPORTED_PROFILE / input exceeds 256 cells</t>
        </is>
      </c>
      <c r="AB36" s="14" t="inlineStr">
        <is>
          <t>yes</t>
        </is>
      </c>
    </row>
    <row r="37">
      <c r="A37" s="14" t="inlineStr">
        <is>
          <t>laplace5</t>
        </is>
      </c>
      <c r="B37" s="14" t="inlineStr">
        <is>
          <t>stencil-2d</t>
        </is>
      </c>
      <c r="C37" s="14" t="inlineStr">
        <is>
          <t>m</t>
        </is>
      </c>
      <c r="D37" s="14" t="inlineStr">
        <is>
          <t>ramp</t>
        </is>
      </c>
      <c r="E37" s="14" t="inlineStr">
        <is>
          <t>254,254</t>
        </is>
      </c>
      <c r="F37" s="5" t="n">
        <v>64516</v>
      </c>
      <c r="G37" s="15" t="n">
        <v>65652</v>
      </c>
      <c r="H37" s="15" t="n">
        <v>65131</v>
      </c>
      <c r="I37" s="17" t="n"/>
      <c r="J37" s="17" t="n"/>
      <c r="K37" s="17" t="n"/>
      <c r="L37" s="7">
        <f>IF(AND(ISNUMBER(I37),ISNUMBER(G37)),I37/G37,"")</f>
        <v/>
      </c>
      <c r="M37" s="7">
        <f>IF(AND(ISNUMBER(I37),ISNUMBER(H37)),I37/H37,"")</f>
        <v/>
      </c>
      <c r="N37" s="7">
        <f>IF(AND(ISNUMBER(H37),ISNUMBER(G37)),H37/G37,"")</f>
        <v/>
      </c>
      <c r="O37" s="9">
        <f>IF(AND(ISNUMBER(J37),ISNUMBER(G37)),J37/G37,"")</f>
        <v/>
      </c>
      <c r="P37" s="14">
        <f>IF(L37="","n/a",IF(L37&lt;0.95,"Lead",IF(L37&gt;1.05,"Lag","Parity")))</f>
        <v/>
      </c>
      <c r="Q37" s="14">
        <f>IF(M37="","n/a",IF(M37&lt;0.95,"Lead",IF(M37&gt;1.05,"Lag","Parity")))</f>
        <v/>
      </c>
      <c r="R37" s="14" t="inlineStr">
        <is>
          <t>unsupported</t>
        </is>
      </c>
      <c r="S37" s="14" t="inlineStr">
        <is>
          <t>unsupported</t>
        </is>
      </c>
      <c r="T37" s="14" t="n"/>
      <c r="U37" s="8" t="n"/>
      <c r="V37" s="8" t="n"/>
      <c r="W37" s="10" t="n"/>
      <c r="X37" s="10" t="n"/>
      <c r="Y37" s="10" t="n"/>
      <c r="Z37" s="10" t="n"/>
      <c r="AA37" s="6" t="inlineStr">
        <is>
          <t>UNSUPPORTED_PROFILE / input exceeds 256 cells</t>
        </is>
      </c>
      <c r="AB37" s="14" t="inlineStr">
        <is>
          <t>yes</t>
        </is>
      </c>
    </row>
    <row r="38">
      <c r="A38" s="14" t="inlineStr">
        <is>
          <t>laplace5</t>
        </is>
      </c>
      <c r="B38" s="14" t="inlineStr">
        <is>
          <t>stencil-2d</t>
        </is>
      </c>
      <c r="C38" s="14" t="inlineStr">
        <is>
          <t>l</t>
        </is>
      </c>
      <c r="D38" s="14" t="inlineStr">
        <is>
          <t>hash</t>
        </is>
      </c>
      <c r="E38" s="14" t="inlineStr">
        <is>
          <t>2046,2046</t>
        </is>
      </c>
      <c r="F38" s="5" t="n">
        <v>4186116</v>
      </c>
      <c r="G38" s="15" t="n">
        <v>4658600</v>
      </c>
      <c r="H38" s="15" t="n">
        <v>4660900</v>
      </c>
      <c r="I38" s="17" t="n"/>
      <c r="J38" s="17" t="n"/>
      <c r="K38" s="17" t="n"/>
      <c r="L38" s="7">
        <f>IF(AND(ISNUMBER(I38),ISNUMBER(G38)),I38/G38,"")</f>
        <v/>
      </c>
      <c r="M38" s="7">
        <f>IF(AND(ISNUMBER(I38),ISNUMBER(H38)),I38/H38,"")</f>
        <v/>
      </c>
      <c r="N38" s="7">
        <f>IF(AND(ISNUMBER(H38),ISNUMBER(G38)),H38/G38,"")</f>
        <v/>
      </c>
      <c r="O38" s="9">
        <f>IF(AND(ISNUMBER(J38),ISNUMBER(G38)),J38/G38,"")</f>
        <v/>
      </c>
      <c r="P38" s="14">
        <f>IF(L38="","n/a",IF(L38&lt;0.95,"Lead",IF(L38&gt;1.05,"Lag","Parity")))</f>
        <v/>
      </c>
      <c r="Q38" s="14">
        <f>IF(M38="","n/a",IF(M38&lt;0.95,"Lead",IF(M38&gt;1.05,"Lag","Parity")))</f>
        <v/>
      </c>
      <c r="R38" s="14" t="inlineStr">
        <is>
          <t>unsupported</t>
        </is>
      </c>
      <c r="S38" s="14" t="inlineStr">
        <is>
          <t>unsupported</t>
        </is>
      </c>
      <c r="T38" s="14" t="n"/>
      <c r="U38" s="8" t="n"/>
      <c r="V38" s="8" t="n"/>
      <c r="W38" s="10" t="n"/>
      <c r="X38" s="10" t="n"/>
      <c r="Y38" s="10" t="n"/>
      <c r="Z38" s="10" t="n"/>
      <c r="AA38" s="6" t="inlineStr">
        <is>
          <t>UNSUPPORTED_PROFILE / input exceeds 256 cells</t>
        </is>
      </c>
      <c r="AB38" s="14" t="inlineStr">
        <is>
          <t>yes</t>
        </is>
      </c>
    </row>
    <row r="39">
      <c r="A39" s="14" t="inlineStr">
        <is>
          <t>laplace5</t>
        </is>
      </c>
      <c r="B39" s="14" t="inlineStr">
        <is>
          <t>stencil-2d</t>
        </is>
      </c>
      <c r="C39" s="14" t="inlineStr">
        <is>
          <t>l</t>
        </is>
      </c>
      <c r="D39" s="14" t="inlineStr">
        <is>
          <t>max</t>
        </is>
      </c>
      <c r="E39" s="14" t="inlineStr">
        <is>
          <t>2046,2046</t>
        </is>
      </c>
      <c r="F39" s="5" t="n">
        <v>4186116</v>
      </c>
      <c r="G39" s="15" t="n">
        <v>8493700</v>
      </c>
      <c r="H39" s="15" t="n">
        <v>6446300</v>
      </c>
      <c r="I39" s="17" t="n"/>
      <c r="J39" s="17" t="n"/>
      <c r="K39" s="17" t="n"/>
      <c r="L39" s="7">
        <f>IF(AND(ISNUMBER(I39),ISNUMBER(G39)),I39/G39,"")</f>
        <v/>
      </c>
      <c r="M39" s="7">
        <f>IF(AND(ISNUMBER(I39),ISNUMBER(H39)),I39/H39,"")</f>
        <v/>
      </c>
      <c r="N39" s="7">
        <f>IF(AND(ISNUMBER(H39),ISNUMBER(G39)),H39/G39,"")</f>
        <v/>
      </c>
      <c r="O39" s="9">
        <f>IF(AND(ISNUMBER(J39),ISNUMBER(G39)),J39/G39,"")</f>
        <v/>
      </c>
      <c r="P39" s="14">
        <f>IF(L39="","n/a",IF(L39&lt;0.95,"Lead",IF(L39&gt;1.05,"Lag","Parity")))</f>
        <v/>
      </c>
      <c r="Q39" s="14">
        <f>IF(M39="","n/a",IF(M39&lt;0.95,"Lead",IF(M39&gt;1.05,"Lag","Parity")))</f>
        <v/>
      </c>
      <c r="R39" s="14" t="inlineStr">
        <is>
          <t>unsupported</t>
        </is>
      </c>
      <c r="S39" s="14" t="inlineStr">
        <is>
          <t>unsupported</t>
        </is>
      </c>
      <c r="T39" s="14" t="n"/>
      <c r="U39" s="8" t="n"/>
      <c r="V39" s="8" t="n"/>
      <c r="W39" s="10" t="n"/>
      <c r="X39" s="10" t="n"/>
      <c r="Y39" s="10" t="n"/>
      <c r="Z39" s="10" t="n"/>
      <c r="AA39" s="6" t="inlineStr">
        <is>
          <t>UNSUPPORTED_PROFILE / input exceeds 256 cells</t>
        </is>
      </c>
      <c r="AB39" s="14" t="inlineStr">
        <is>
          <t>yes</t>
        </is>
      </c>
    </row>
    <row r="40">
      <c r="A40" s="14" t="inlineStr">
        <is>
          <t>laplace5</t>
        </is>
      </c>
      <c r="B40" s="14" t="inlineStr">
        <is>
          <t>stencil-2d</t>
        </is>
      </c>
      <c r="C40" s="14" t="inlineStr">
        <is>
          <t>l</t>
        </is>
      </c>
      <c r="D40" s="14" t="inlineStr">
        <is>
          <t>ramp</t>
        </is>
      </c>
      <c r="E40" s="14" t="inlineStr">
        <is>
          <t>2046,2046</t>
        </is>
      </c>
      <c r="F40" s="5" t="n">
        <v>4186116</v>
      </c>
      <c r="G40" s="15" t="n">
        <v>4914650</v>
      </c>
      <c r="H40" s="15" t="n">
        <v>4754850</v>
      </c>
      <c r="I40" s="17" t="n"/>
      <c r="J40" s="17" t="n"/>
      <c r="K40" s="17" t="n"/>
      <c r="L40" s="7">
        <f>IF(AND(ISNUMBER(I40),ISNUMBER(G40)),I40/G40,"")</f>
        <v/>
      </c>
      <c r="M40" s="7">
        <f>IF(AND(ISNUMBER(I40),ISNUMBER(H40)),I40/H40,"")</f>
        <v/>
      </c>
      <c r="N40" s="7">
        <f>IF(AND(ISNUMBER(H40),ISNUMBER(G40)),H40/G40,"")</f>
        <v/>
      </c>
      <c r="O40" s="9">
        <f>IF(AND(ISNUMBER(J40),ISNUMBER(G40)),J40/G40,"")</f>
        <v/>
      </c>
      <c r="P40" s="14">
        <f>IF(L40="","n/a",IF(L40&lt;0.95,"Lead",IF(L40&gt;1.05,"Lag","Parity")))</f>
        <v/>
      </c>
      <c r="Q40" s="14">
        <f>IF(M40="","n/a",IF(M40&lt;0.95,"Lead",IF(M40&gt;1.05,"Lag","Parity")))</f>
        <v/>
      </c>
      <c r="R40" s="14" t="inlineStr">
        <is>
          <t>unsupported</t>
        </is>
      </c>
      <c r="S40" s="14" t="inlineStr">
        <is>
          <t>unsupported</t>
        </is>
      </c>
      <c r="T40" s="14" t="n"/>
      <c r="U40" s="8" t="n"/>
      <c r="V40" s="8" t="n"/>
      <c r="W40" s="10" t="n"/>
      <c r="X40" s="10" t="n"/>
      <c r="Y40" s="10" t="n"/>
      <c r="Z40" s="10" t="n"/>
      <c r="AA40" s="6" t="inlineStr">
        <is>
          <t>UNSUPPORTED_PROFILE / input exceeds 256 cells</t>
        </is>
      </c>
      <c r="AB40" s="14" t="inlineStr">
        <is>
          <t>yes</t>
        </is>
      </c>
    </row>
    <row r="41">
      <c r="A41" s="14" t="inlineStr">
        <is>
          <t>conv3x3</t>
        </is>
      </c>
      <c r="B41" s="14" t="inlineStr">
        <is>
          <t>stencil-2d</t>
        </is>
      </c>
      <c r="C41" s="14" t="inlineStr">
        <is>
          <t>s</t>
        </is>
      </c>
      <c r="D41" s="14" t="inlineStr">
        <is>
          <t>hash</t>
        </is>
      </c>
      <c r="E41" s="14" t="inlineStr">
        <is>
          <t>14,14</t>
        </is>
      </c>
      <c r="F41" s="5" t="n">
        <v>196</v>
      </c>
      <c r="G41" s="15" t="n">
        <v>530</v>
      </c>
      <c r="H41" s="15" t="n">
        <v>369</v>
      </c>
      <c r="I41" s="15" t="n">
        <v>101</v>
      </c>
      <c r="J41" s="15" t="n">
        <v>72428300</v>
      </c>
      <c r="K41" s="17" t="n"/>
      <c r="L41" s="7">
        <f>IF(AND(ISNUMBER(I41),ISNUMBER(G41)),I41/G41,"")</f>
        <v/>
      </c>
      <c r="M41" s="7">
        <f>IF(AND(ISNUMBER(I41),ISNUMBER(H41)),I41/H41,"")</f>
        <v/>
      </c>
      <c r="N41" s="7">
        <f>IF(AND(ISNUMBER(H41),ISNUMBER(G41)),H41/G41,"")</f>
        <v/>
      </c>
      <c r="O41" s="9">
        <f>IF(AND(ISNUMBER(J41),ISNUMBER(G41)),J41/G41,"")</f>
        <v/>
      </c>
      <c r="P41" s="14">
        <f>IF(L41="","n/a",IF(L41&lt;0.95,"Lead",IF(L41&gt;1.05,"Lag","Parity")))</f>
        <v/>
      </c>
      <c r="Q41" s="14">
        <f>IF(M41="","n/a",IF(M41&lt;0.95,"Lead",IF(M41&gt;1.05,"Lag","Parity")))</f>
        <v/>
      </c>
      <c r="R41" s="14" t="inlineStr">
        <is>
          <t>ok</t>
        </is>
      </c>
      <c r="S41" s="14" t="inlineStr">
        <is>
          <t>ok</t>
        </is>
      </c>
      <c r="T41" s="14" t="inlineStr">
        <is>
          <t>rows-v1</t>
        </is>
      </c>
      <c r="U41" s="5" t="n">
        <v>420</v>
      </c>
      <c r="V41" s="5" t="n">
        <v>168</v>
      </c>
      <c r="W41" s="16" t="n">
        <v>473.1</v>
      </c>
      <c r="X41" s="16" t="n">
        <v>101.5</v>
      </c>
      <c r="Y41" s="16" t="n">
        <v>371.6</v>
      </c>
      <c r="Z41" s="16" t="n">
        <v>288.3</v>
      </c>
      <c r="AA41" s="6" t="inlineStr"/>
      <c r="AB41" s="14" t="inlineStr">
        <is>
          <t>yes</t>
        </is>
      </c>
    </row>
    <row r="42">
      <c r="A42" s="14" t="inlineStr">
        <is>
          <t>conv3x3</t>
        </is>
      </c>
      <c r="B42" s="14" t="inlineStr">
        <is>
          <t>stencil-2d</t>
        </is>
      </c>
      <c r="C42" s="14" t="inlineStr">
        <is>
          <t>s</t>
        </is>
      </c>
      <c r="D42" s="14" t="inlineStr">
        <is>
          <t>max</t>
        </is>
      </c>
      <c r="E42" s="14" t="inlineStr">
        <is>
          <t>14,14</t>
        </is>
      </c>
      <c r="F42" s="5" t="n">
        <v>196</v>
      </c>
      <c r="G42" s="15" t="n">
        <v>486</v>
      </c>
      <c r="H42" s="15" t="n">
        <v>375</v>
      </c>
      <c r="I42" s="15" t="n">
        <v>101</v>
      </c>
      <c r="J42" s="15" t="n">
        <v>71339300</v>
      </c>
      <c r="K42" s="17" t="n"/>
      <c r="L42" s="7">
        <f>IF(AND(ISNUMBER(I42),ISNUMBER(G42)),I42/G42,"")</f>
        <v/>
      </c>
      <c r="M42" s="7">
        <f>IF(AND(ISNUMBER(I42),ISNUMBER(H42)),I42/H42,"")</f>
        <v/>
      </c>
      <c r="N42" s="7">
        <f>IF(AND(ISNUMBER(H42),ISNUMBER(G42)),H42/G42,"")</f>
        <v/>
      </c>
      <c r="O42" s="9">
        <f>IF(AND(ISNUMBER(J42),ISNUMBER(G42)),J42/G42,"")</f>
        <v/>
      </c>
      <c r="P42" s="14">
        <f>IF(L42="","n/a",IF(L42&lt;0.95,"Lead",IF(L42&gt;1.05,"Lag","Parity")))</f>
        <v/>
      </c>
      <c r="Q42" s="14">
        <f>IF(M42="","n/a",IF(M42&lt;0.95,"Lead",IF(M42&gt;1.05,"Lag","Parity")))</f>
        <v/>
      </c>
      <c r="R42" s="14" t="inlineStr">
        <is>
          <t>ok</t>
        </is>
      </c>
      <c r="S42" s="14" t="inlineStr">
        <is>
          <t>ok</t>
        </is>
      </c>
      <c r="T42" s="14" t="inlineStr">
        <is>
          <t>rows-v1</t>
        </is>
      </c>
      <c r="U42" s="5" t="n">
        <v>420</v>
      </c>
      <c r="V42" s="5" t="n">
        <v>168</v>
      </c>
      <c r="W42" s="16" t="n">
        <v>408.2</v>
      </c>
      <c r="X42" s="16" t="n">
        <v>95.8</v>
      </c>
      <c r="Y42" s="16" t="n">
        <v>312.4</v>
      </c>
      <c r="Z42" s="16" t="n">
        <v>291.3</v>
      </c>
      <c r="AA42" s="6" t="inlineStr"/>
      <c r="AB42" s="14" t="inlineStr">
        <is>
          <t>yes</t>
        </is>
      </c>
    </row>
    <row r="43">
      <c r="A43" s="14" t="inlineStr">
        <is>
          <t>conv3x3</t>
        </is>
      </c>
      <c r="B43" s="14" t="inlineStr">
        <is>
          <t>stencil-2d</t>
        </is>
      </c>
      <c r="C43" s="14" t="inlineStr">
        <is>
          <t>s</t>
        </is>
      </c>
      <c r="D43" s="14" t="inlineStr">
        <is>
          <t>ramp</t>
        </is>
      </c>
      <c r="E43" s="14" t="inlineStr">
        <is>
          <t>14,14</t>
        </is>
      </c>
      <c r="F43" s="5" t="n">
        <v>196</v>
      </c>
      <c r="G43" s="15" t="n">
        <v>488</v>
      </c>
      <c r="H43" s="15" t="n">
        <v>375</v>
      </c>
      <c r="I43" s="15" t="n">
        <v>101</v>
      </c>
      <c r="J43" s="15" t="n">
        <v>76204700</v>
      </c>
      <c r="K43" s="17" t="n"/>
      <c r="L43" s="7">
        <f>IF(AND(ISNUMBER(I43),ISNUMBER(G43)),I43/G43,"")</f>
        <v/>
      </c>
      <c r="M43" s="7">
        <f>IF(AND(ISNUMBER(I43),ISNUMBER(H43)),I43/H43,"")</f>
        <v/>
      </c>
      <c r="N43" s="7">
        <f>IF(AND(ISNUMBER(H43),ISNUMBER(G43)),H43/G43,"")</f>
        <v/>
      </c>
      <c r="O43" s="9">
        <f>IF(AND(ISNUMBER(J43),ISNUMBER(G43)),J43/G43,"")</f>
        <v/>
      </c>
      <c r="P43" s="14">
        <f>IF(L43="","n/a",IF(L43&lt;0.95,"Lead",IF(L43&gt;1.05,"Lag","Parity")))</f>
        <v/>
      </c>
      <c r="Q43" s="14">
        <f>IF(M43="","n/a",IF(M43&lt;0.95,"Lead",IF(M43&gt;1.05,"Lag","Parity")))</f>
        <v/>
      </c>
      <c r="R43" s="14" t="inlineStr">
        <is>
          <t>ok</t>
        </is>
      </c>
      <c r="S43" s="14" t="inlineStr">
        <is>
          <t>ok</t>
        </is>
      </c>
      <c r="T43" s="14" t="inlineStr">
        <is>
          <t>rows-v1</t>
        </is>
      </c>
      <c r="U43" s="5" t="n">
        <v>420</v>
      </c>
      <c r="V43" s="5" t="n">
        <v>168</v>
      </c>
      <c r="W43" s="16" t="n">
        <v>404.6</v>
      </c>
      <c r="X43" s="16" t="n">
        <v>95</v>
      </c>
      <c r="Y43" s="16" t="n">
        <v>309.6</v>
      </c>
      <c r="Z43" s="16" t="n">
        <v>296.6</v>
      </c>
      <c r="AA43" s="6" t="inlineStr"/>
      <c r="AB43" s="14" t="inlineStr">
        <is>
          <t>yes</t>
        </is>
      </c>
    </row>
    <row r="44">
      <c r="A44" s="14" t="inlineStr">
        <is>
          <t>conv3x3</t>
        </is>
      </c>
      <c r="B44" s="14" t="inlineStr">
        <is>
          <t>stencil-2d</t>
        </is>
      </c>
      <c r="C44" s="14" t="inlineStr">
        <is>
          <t>m</t>
        </is>
      </c>
      <c r="D44" s="14" t="inlineStr">
        <is>
          <t>hash</t>
        </is>
      </c>
      <c r="E44" s="14" t="inlineStr">
        <is>
          <t>254,254</t>
        </is>
      </c>
      <c r="F44" s="5" t="n">
        <v>64516</v>
      </c>
      <c r="G44" s="15" t="n">
        <v>146987</v>
      </c>
      <c r="H44" s="15" t="n">
        <v>60387</v>
      </c>
      <c r="I44" s="17" t="n"/>
      <c r="J44" s="17" t="n"/>
      <c r="K44" s="17" t="n"/>
      <c r="L44" s="7">
        <f>IF(AND(ISNUMBER(I44),ISNUMBER(G44)),I44/G44,"")</f>
        <v/>
      </c>
      <c r="M44" s="7">
        <f>IF(AND(ISNUMBER(I44),ISNUMBER(H44)),I44/H44,"")</f>
        <v/>
      </c>
      <c r="N44" s="7">
        <f>IF(AND(ISNUMBER(H44),ISNUMBER(G44)),H44/G44,"")</f>
        <v/>
      </c>
      <c r="O44" s="9">
        <f>IF(AND(ISNUMBER(J44),ISNUMBER(G44)),J44/G44,"")</f>
        <v/>
      </c>
      <c r="P44" s="14">
        <f>IF(L44="","n/a",IF(L44&lt;0.95,"Lead",IF(L44&gt;1.05,"Lag","Parity")))</f>
        <v/>
      </c>
      <c r="Q44" s="14">
        <f>IF(M44="","n/a",IF(M44&lt;0.95,"Lead",IF(M44&gt;1.05,"Lag","Parity")))</f>
        <v/>
      </c>
      <c r="R44" s="14" t="inlineStr">
        <is>
          <t>unsupported</t>
        </is>
      </c>
      <c r="S44" s="14" t="inlineStr">
        <is>
          <t>unsupported</t>
        </is>
      </c>
      <c r="T44" s="14" t="n"/>
      <c r="U44" s="8" t="n"/>
      <c r="V44" s="8" t="n"/>
      <c r="W44" s="10" t="n"/>
      <c r="X44" s="10" t="n"/>
      <c r="Y44" s="10" t="n"/>
      <c r="Z44" s="10" t="n"/>
      <c r="AA44" s="6" t="inlineStr">
        <is>
          <t>UNSUPPORTED_PROFILE / input exceeds 256 cells</t>
        </is>
      </c>
      <c r="AB44" s="14" t="inlineStr">
        <is>
          <t>yes</t>
        </is>
      </c>
    </row>
    <row r="45">
      <c r="A45" s="14" t="inlineStr">
        <is>
          <t>conv3x3</t>
        </is>
      </c>
      <c r="B45" s="14" t="inlineStr">
        <is>
          <t>stencil-2d</t>
        </is>
      </c>
      <c r="C45" s="14" t="inlineStr">
        <is>
          <t>m</t>
        </is>
      </c>
      <c r="D45" s="14" t="inlineStr">
        <is>
          <t>max</t>
        </is>
      </c>
      <c r="E45" s="14" t="inlineStr">
        <is>
          <t>254,254</t>
        </is>
      </c>
      <c r="F45" s="5" t="n">
        <v>64516</v>
      </c>
      <c r="G45" s="15" t="n">
        <v>144425</v>
      </c>
      <c r="H45" s="15" t="n">
        <v>59581</v>
      </c>
      <c r="I45" s="17" t="n"/>
      <c r="J45" s="17" t="n"/>
      <c r="K45" s="17" t="n"/>
      <c r="L45" s="7">
        <f>IF(AND(ISNUMBER(I45),ISNUMBER(G45)),I45/G45,"")</f>
        <v/>
      </c>
      <c r="M45" s="7">
        <f>IF(AND(ISNUMBER(I45),ISNUMBER(H45)),I45/H45,"")</f>
        <v/>
      </c>
      <c r="N45" s="7">
        <f>IF(AND(ISNUMBER(H45),ISNUMBER(G45)),H45/G45,"")</f>
        <v/>
      </c>
      <c r="O45" s="9">
        <f>IF(AND(ISNUMBER(J45),ISNUMBER(G45)),J45/G45,"")</f>
        <v/>
      </c>
      <c r="P45" s="14">
        <f>IF(L45="","n/a",IF(L45&lt;0.95,"Lead",IF(L45&gt;1.05,"Lag","Parity")))</f>
        <v/>
      </c>
      <c r="Q45" s="14">
        <f>IF(M45="","n/a",IF(M45&lt;0.95,"Lead",IF(M45&gt;1.05,"Lag","Parity")))</f>
        <v/>
      </c>
      <c r="R45" s="14" t="inlineStr">
        <is>
          <t>unsupported</t>
        </is>
      </c>
      <c r="S45" s="14" t="inlineStr">
        <is>
          <t>unsupported</t>
        </is>
      </c>
      <c r="T45" s="14" t="n"/>
      <c r="U45" s="8" t="n"/>
      <c r="V45" s="8" t="n"/>
      <c r="W45" s="10" t="n"/>
      <c r="X45" s="10" t="n"/>
      <c r="Y45" s="10" t="n"/>
      <c r="Z45" s="10" t="n"/>
      <c r="AA45" s="6" t="inlineStr">
        <is>
          <t>UNSUPPORTED_PROFILE / input exceeds 256 cells</t>
        </is>
      </c>
      <c r="AB45" s="14" t="inlineStr">
        <is>
          <t>yes</t>
        </is>
      </c>
    </row>
    <row r="46">
      <c r="A46" s="14" t="inlineStr">
        <is>
          <t>conv3x3</t>
        </is>
      </c>
      <c r="B46" s="14" t="inlineStr">
        <is>
          <t>stencil-2d</t>
        </is>
      </c>
      <c r="C46" s="14" t="inlineStr">
        <is>
          <t>m</t>
        </is>
      </c>
      <c r="D46" s="14" t="inlineStr">
        <is>
          <t>ramp</t>
        </is>
      </c>
      <c r="E46" s="14" t="inlineStr">
        <is>
          <t>254,254</t>
        </is>
      </c>
      <c r="F46" s="5" t="n">
        <v>64516</v>
      </c>
      <c r="G46" s="15" t="n">
        <v>146362</v>
      </c>
      <c r="H46" s="15" t="n">
        <v>60062</v>
      </c>
      <c r="I46" s="17" t="n"/>
      <c r="J46" s="17" t="n"/>
      <c r="K46" s="17" t="n"/>
      <c r="L46" s="7">
        <f>IF(AND(ISNUMBER(I46),ISNUMBER(G46)),I46/G46,"")</f>
        <v/>
      </c>
      <c r="M46" s="7">
        <f>IF(AND(ISNUMBER(I46),ISNUMBER(H46)),I46/H46,"")</f>
        <v/>
      </c>
      <c r="N46" s="7">
        <f>IF(AND(ISNUMBER(H46),ISNUMBER(G46)),H46/G46,"")</f>
        <v/>
      </c>
      <c r="O46" s="9">
        <f>IF(AND(ISNUMBER(J46),ISNUMBER(G46)),J46/G46,"")</f>
        <v/>
      </c>
      <c r="P46" s="14">
        <f>IF(L46="","n/a",IF(L46&lt;0.95,"Lead",IF(L46&gt;1.05,"Lag","Parity")))</f>
        <v/>
      </c>
      <c r="Q46" s="14">
        <f>IF(M46="","n/a",IF(M46&lt;0.95,"Lead",IF(M46&gt;1.05,"Lag","Parity")))</f>
        <v/>
      </c>
      <c r="R46" s="14" t="inlineStr">
        <is>
          <t>unsupported</t>
        </is>
      </c>
      <c r="S46" s="14" t="inlineStr">
        <is>
          <t>unsupported</t>
        </is>
      </c>
      <c r="T46" s="14" t="n"/>
      <c r="U46" s="8" t="n"/>
      <c r="V46" s="8" t="n"/>
      <c r="W46" s="10" t="n"/>
      <c r="X46" s="10" t="n"/>
      <c r="Y46" s="10" t="n"/>
      <c r="Z46" s="10" t="n"/>
      <c r="AA46" s="6" t="inlineStr">
        <is>
          <t>UNSUPPORTED_PROFILE / input exceeds 256 cells</t>
        </is>
      </c>
      <c r="AB46" s="14" t="inlineStr">
        <is>
          <t>yes</t>
        </is>
      </c>
    </row>
    <row r="47">
      <c r="A47" s="14" t="inlineStr">
        <is>
          <t>conv3x3</t>
        </is>
      </c>
      <c r="B47" s="14" t="inlineStr">
        <is>
          <t>stencil-2d</t>
        </is>
      </c>
      <c r="C47" s="14" t="inlineStr">
        <is>
          <t>l</t>
        </is>
      </c>
      <c r="D47" s="14" t="inlineStr">
        <is>
          <t>hash</t>
        </is>
      </c>
      <c r="E47" s="14" t="inlineStr">
        <is>
          <t>2046,2046</t>
        </is>
      </c>
      <c r="F47" s="5" t="n">
        <v>4186116</v>
      </c>
      <c r="G47" s="15" t="n">
        <v>9561900</v>
      </c>
      <c r="H47" s="15" t="n">
        <v>4342450</v>
      </c>
      <c r="I47" s="17" t="n"/>
      <c r="J47" s="17" t="n"/>
      <c r="K47" s="17" t="n"/>
      <c r="L47" s="7">
        <f>IF(AND(ISNUMBER(I47),ISNUMBER(G47)),I47/G47,"")</f>
        <v/>
      </c>
      <c r="M47" s="7">
        <f>IF(AND(ISNUMBER(I47),ISNUMBER(H47)),I47/H47,"")</f>
        <v/>
      </c>
      <c r="N47" s="7">
        <f>IF(AND(ISNUMBER(H47),ISNUMBER(G47)),H47/G47,"")</f>
        <v/>
      </c>
      <c r="O47" s="9">
        <f>IF(AND(ISNUMBER(J47),ISNUMBER(G47)),J47/G47,"")</f>
        <v/>
      </c>
      <c r="P47" s="14">
        <f>IF(L47="","n/a",IF(L47&lt;0.95,"Lead",IF(L47&gt;1.05,"Lag","Parity")))</f>
        <v/>
      </c>
      <c r="Q47" s="14">
        <f>IF(M47="","n/a",IF(M47&lt;0.95,"Lead",IF(M47&gt;1.05,"Lag","Parity")))</f>
        <v/>
      </c>
      <c r="R47" s="14" t="inlineStr">
        <is>
          <t>unsupported</t>
        </is>
      </c>
      <c r="S47" s="14" t="inlineStr">
        <is>
          <t>unsupported</t>
        </is>
      </c>
      <c r="T47" s="14" t="n"/>
      <c r="U47" s="8" t="n"/>
      <c r="V47" s="8" t="n"/>
      <c r="W47" s="10" t="n"/>
      <c r="X47" s="10" t="n"/>
      <c r="Y47" s="10" t="n"/>
      <c r="Z47" s="10" t="n"/>
      <c r="AA47" s="6" t="inlineStr">
        <is>
          <t>UNSUPPORTED_PROFILE / input exceeds 256 cells</t>
        </is>
      </c>
      <c r="AB47" s="14" t="inlineStr">
        <is>
          <t>yes</t>
        </is>
      </c>
    </row>
    <row r="48">
      <c r="A48" s="14" t="inlineStr">
        <is>
          <t>conv3x3</t>
        </is>
      </c>
      <c r="B48" s="14" t="inlineStr">
        <is>
          <t>stencil-2d</t>
        </is>
      </c>
      <c r="C48" s="14" t="inlineStr">
        <is>
          <t>l</t>
        </is>
      </c>
      <c r="D48" s="14" t="inlineStr">
        <is>
          <t>max</t>
        </is>
      </c>
      <c r="E48" s="14" t="inlineStr">
        <is>
          <t>2046,2046</t>
        </is>
      </c>
      <c r="F48" s="5" t="n">
        <v>4186116</v>
      </c>
      <c r="G48" s="15" t="n">
        <v>10516200</v>
      </c>
      <c r="H48" s="15" t="n">
        <v>4929200</v>
      </c>
      <c r="I48" s="17" t="n"/>
      <c r="J48" s="17" t="n"/>
      <c r="K48" s="17" t="n"/>
      <c r="L48" s="7">
        <f>IF(AND(ISNUMBER(I48),ISNUMBER(G48)),I48/G48,"")</f>
        <v/>
      </c>
      <c r="M48" s="7">
        <f>IF(AND(ISNUMBER(I48),ISNUMBER(H48)),I48/H48,"")</f>
        <v/>
      </c>
      <c r="N48" s="7">
        <f>IF(AND(ISNUMBER(H48),ISNUMBER(G48)),H48/G48,"")</f>
        <v/>
      </c>
      <c r="O48" s="9">
        <f>IF(AND(ISNUMBER(J48),ISNUMBER(G48)),J48/G48,"")</f>
        <v/>
      </c>
      <c r="P48" s="14">
        <f>IF(L48="","n/a",IF(L48&lt;0.95,"Lead",IF(L48&gt;1.05,"Lag","Parity")))</f>
        <v/>
      </c>
      <c r="Q48" s="14">
        <f>IF(M48="","n/a",IF(M48&lt;0.95,"Lead",IF(M48&gt;1.05,"Lag","Parity")))</f>
        <v/>
      </c>
      <c r="R48" s="14" t="inlineStr">
        <is>
          <t>unsupported</t>
        </is>
      </c>
      <c r="S48" s="14" t="inlineStr">
        <is>
          <t>unsupported</t>
        </is>
      </c>
      <c r="T48" s="14" t="n"/>
      <c r="U48" s="8" t="n"/>
      <c r="V48" s="8" t="n"/>
      <c r="W48" s="10" t="n"/>
      <c r="X48" s="10" t="n"/>
      <c r="Y48" s="10" t="n"/>
      <c r="Z48" s="10" t="n"/>
      <c r="AA48" s="6" t="inlineStr">
        <is>
          <t>UNSUPPORTED_PROFILE / input exceeds 256 cells</t>
        </is>
      </c>
      <c r="AB48" s="14" t="inlineStr">
        <is>
          <t>yes</t>
        </is>
      </c>
    </row>
    <row r="49">
      <c r="A49" s="14" t="inlineStr">
        <is>
          <t>conv3x3</t>
        </is>
      </c>
      <c r="B49" s="14" t="inlineStr">
        <is>
          <t>stencil-2d</t>
        </is>
      </c>
      <c r="C49" s="14" t="inlineStr">
        <is>
          <t>l</t>
        </is>
      </c>
      <c r="D49" s="14" t="inlineStr">
        <is>
          <t>ramp</t>
        </is>
      </c>
      <c r="E49" s="14" t="inlineStr">
        <is>
          <t>2046,2046</t>
        </is>
      </c>
      <c r="F49" s="5" t="n">
        <v>4186116</v>
      </c>
      <c r="G49" s="15" t="n">
        <v>9783200</v>
      </c>
      <c r="H49" s="15" t="n">
        <v>4329100</v>
      </c>
      <c r="I49" s="17" t="n"/>
      <c r="J49" s="17" t="n"/>
      <c r="K49" s="17" t="n"/>
      <c r="L49" s="7">
        <f>IF(AND(ISNUMBER(I49),ISNUMBER(G49)),I49/G49,"")</f>
        <v/>
      </c>
      <c r="M49" s="7">
        <f>IF(AND(ISNUMBER(I49),ISNUMBER(H49)),I49/H49,"")</f>
        <v/>
      </c>
      <c r="N49" s="7">
        <f>IF(AND(ISNUMBER(H49),ISNUMBER(G49)),H49/G49,"")</f>
        <v/>
      </c>
      <c r="O49" s="9">
        <f>IF(AND(ISNUMBER(J49),ISNUMBER(G49)),J49/G49,"")</f>
        <v/>
      </c>
      <c r="P49" s="14">
        <f>IF(L49="","n/a",IF(L49&lt;0.95,"Lead",IF(L49&gt;1.05,"Lag","Parity")))</f>
        <v/>
      </c>
      <c r="Q49" s="14">
        <f>IF(M49="","n/a",IF(M49&lt;0.95,"Lead",IF(M49&gt;1.05,"Lag","Parity")))</f>
        <v/>
      </c>
      <c r="R49" s="14" t="inlineStr">
        <is>
          <t>unsupported</t>
        </is>
      </c>
      <c r="S49" s="14" t="inlineStr">
        <is>
          <t>unsupported</t>
        </is>
      </c>
      <c r="T49" s="14" t="n"/>
      <c r="U49" s="8" t="n"/>
      <c r="V49" s="8" t="n"/>
      <c r="W49" s="10" t="n"/>
      <c r="X49" s="10" t="n"/>
      <c r="Y49" s="10" t="n"/>
      <c r="Z49" s="10" t="n"/>
      <c r="AA49" s="6" t="inlineStr">
        <is>
          <t>UNSUPPORTED_PROFILE / input exceeds 256 cells</t>
        </is>
      </c>
      <c r="AB49" s="14" t="inlineStr">
        <is>
          <t>yes</t>
        </is>
      </c>
    </row>
    <row r="50">
      <c r="A50" s="14" t="inlineStr">
        <is>
          <t>life</t>
        </is>
      </c>
      <c r="B50" s="14" t="inlineStr">
        <is>
          <t>stencil-2d-cond</t>
        </is>
      </c>
      <c r="C50" s="14" t="inlineStr">
        <is>
          <t>s</t>
        </is>
      </c>
      <c r="D50" s="14" t="inlineStr">
        <is>
          <t>hash</t>
        </is>
      </c>
      <c r="E50" s="14" t="inlineStr">
        <is>
          <t>14,14</t>
        </is>
      </c>
      <c r="F50" s="5" t="n">
        <v>196</v>
      </c>
      <c r="G50" s="15" t="n">
        <v>419</v>
      </c>
      <c r="H50" s="15" t="n">
        <v>716</v>
      </c>
      <c r="I50" s="17" t="n"/>
      <c r="J50" s="17" t="n"/>
      <c r="K50" s="17" t="n"/>
      <c r="L50" s="7">
        <f>IF(AND(ISNUMBER(I50),ISNUMBER(G50)),I50/G50,"")</f>
        <v/>
      </c>
      <c r="M50" s="7">
        <f>IF(AND(ISNUMBER(I50),ISNUMBER(H50)),I50/H50,"")</f>
        <v/>
      </c>
      <c r="N50" s="7">
        <f>IF(AND(ISNUMBER(H50),ISNUMBER(G50)),H50/G50,"")</f>
        <v/>
      </c>
      <c r="O50" s="9">
        <f>IF(AND(ISNUMBER(J50),ISNUMBER(G50)),J50/G50,"")</f>
        <v/>
      </c>
      <c r="P50" s="14">
        <f>IF(L50="","n/a",IF(L50&lt;0.95,"Lead",IF(L50&gt;1.05,"Lag","Parity")))</f>
        <v/>
      </c>
      <c r="Q50" s="14">
        <f>IF(M50="","n/a",IF(M50&lt;0.95,"Lead",IF(M50&gt;1.05,"Lag","Parity")))</f>
        <v/>
      </c>
      <c r="R50" s="14" t="inlineStr">
        <is>
          <t>unsupported</t>
        </is>
      </c>
      <c r="S50" s="14" t="inlineStr">
        <is>
          <t>unsupported</t>
        </is>
      </c>
      <c r="T50" s="14" t="n"/>
      <c r="U50" s="8" t="n"/>
      <c r="V50" s="8" t="n"/>
      <c r="W50" s="10" t="n"/>
      <c r="X50" s="10" t="n"/>
      <c r="Y50" s="10" t="n"/>
      <c r="Z50" s="10" t="n"/>
      <c r="AA50" s="6" t="inlineStr">
        <is>
          <t>NOT_EXPRESSIBLE / bitwise ops, comparison, select/conditional</t>
        </is>
      </c>
      <c r="AB50" s="14" t="inlineStr">
        <is>
          <t>yes</t>
        </is>
      </c>
    </row>
    <row r="51">
      <c r="A51" s="14" t="inlineStr">
        <is>
          <t>life</t>
        </is>
      </c>
      <c r="B51" s="14" t="inlineStr">
        <is>
          <t>stencil-2d-cond</t>
        </is>
      </c>
      <c r="C51" s="14" t="inlineStr">
        <is>
          <t>s</t>
        </is>
      </c>
      <c r="D51" s="14" t="inlineStr">
        <is>
          <t>max</t>
        </is>
      </c>
      <c r="E51" s="14" t="inlineStr">
        <is>
          <t>14,14</t>
        </is>
      </c>
      <c r="F51" s="5" t="n">
        <v>196</v>
      </c>
      <c r="G51" s="15" t="n">
        <v>413</v>
      </c>
      <c r="H51" s="15" t="n">
        <v>670</v>
      </c>
      <c r="I51" s="17" t="n"/>
      <c r="J51" s="17" t="n"/>
      <c r="K51" s="17" t="n"/>
      <c r="L51" s="7">
        <f>IF(AND(ISNUMBER(I51),ISNUMBER(G51)),I51/G51,"")</f>
        <v/>
      </c>
      <c r="M51" s="7">
        <f>IF(AND(ISNUMBER(I51),ISNUMBER(H51)),I51/H51,"")</f>
        <v/>
      </c>
      <c r="N51" s="7">
        <f>IF(AND(ISNUMBER(H51),ISNUMBER(G51)),H51/G51,"")</f>
        <v/>
      </c>
      <c r="O51" s="9">
        <f>IF(AND(ISNUMBER(J51),ISNUMBER(G51)),J51/G51,"")</f>
        <v/>
      </c>
      <c r="P51" s="14">
        <f>IF(L51="","n/a",IF(L51&lt;0.95,"Lead",IF(L51&gt;1.05,"Lag","Parity")))</f>
        <v/>
      </c>
      <c r="Q51" s="14">
        <f>IF(M51="","n/a",IF(M51&lt;0.95,"Lead",IF(M51&gt;1.05,"Lag","Parity")))</f>
        <v/>
      </c>
      <c r="R51" s="14" t="inlineStr">
        <is>
          <t>unsupported</t>
        </is>
      </c>
      <c r="S51" s="14" t="inlineStr">
        <is>
          <t>unsupported</t>
        </is>
      </c>
      <c r="T51" s="14" t="n"/>
      <c r="U51" s="8" t="n"/>
      <c r="V51" s="8" t="n"/>
      <c r="W51" s="10" t="n"/>
      <c r="X51" s="10" t="n"/>
      <c r="Y51" s="10" t="n"/>
      <c r="Z51" s="10" t="n"/>
      <c r="AA51" s="6" t="inlineStr">
        <is>
          <t>NOT_EXPRESSIBLE / bitwise ops, comparison, select/conditional</t>
        </is>
      </c>
      <c r="AB51" s="14" t="inlineStr">
        <is>
          <t>yes</t>
        </is>
      </c>
    </row>
    <row r="52">
      <c r="A52" s="14" t="inlineStr">
        <is>
          <t>life</t>
        </is>
      </c>
      <c r="B52" s="14" t="inlineStr">
        <is>
          <t>stencil-2d-cond</t>
        </is>
      </c>
      <c r="C52" s="14" t="inlineStr">
        <is>
          <t>s</t>
        </is>
      </c>
      <c r="D52" s="14" t="inlineStr">
        <is>
          <t>ramp</t>
        </is>
      </c>
      <c r="E52" s="14" t="inlineStr">
        <is>
          <t>14,14</t>
        </is>
      </c>
      <c r="F52" s="5" t="n">
        <v>196</v>
      </c>
      <c r="G52" s="15" t="n">
        <v>423</v>
      </c>
      <c r="H52" s="15" t="n">
        <v>700</v>
      </c>
      <c r="I52" s="17" t="n"/>
      <c r="J52" s="17" t="n"/>
      <c r="K52" s="17" t="n"/>
      <c r="L52" s="7">
        <f>IF(AND(ISNUMBER(I52),ISNUMBER(G52)),I52/G52,"")</f>
        <v/>
      </c>
      <c r="M52" s="7">
        <f>IF(AND(ISNUMBER(I52),ISNUMBER(H52)),I52/H52,"")</f>
        <v/>
      </c>
      <c r="N52" s="7">
        <f>IF(AND(ISNUMBER(H52),ISNUMBER(G52)),H52/G52,"")</f>
        <v/>
      </c>
      <c r="O52" s="9">
        <f>IF(AND(ISNUMBER(J52),ISNUMBER(G52)),J52/G52,"")</f>
        <v/>
      </c>
      <c r="P52" s="14">
        <f>IF(L52="","n/a",IF(L52&lt;0.95,"Lead",IF(L52&gt;1.05,"Lag","Parity")))</f>
        <v/>
      </c>
      <c r="Q52" s="14">
        <f>IF(M52="","n/a",IF(M52&lt;0.95,"Lead",IF(M52&gt;1.05,"Lag","Parity")))</f>
        <v/>
      </c>
      <c r="R52" s="14" t="inlineStr">
        <is>
          <t>unsupported</t>
        </is>
      </c>
      <c r="S52" s="14" t="inlineStr">
        <is>
          <t>unsupported</t>
        </is>
      </c>
      <c r="T52" s="14" t="n"/>
      <c r="U52" s="8" t="n"/>
      <c r="V52" s="8" t="n"/>
      <c r="W52" s="10" t="n"/>
      <c r="X52" s="10" t="n"/>
      <c r="Y52" s="10" t="n"/>
      <c r="Z52" s="10" t="n"/>
      <c r="AA52" s="6" t="inlineStr">
        <is>
          <t>NOT_EXPRESSIBLE / bitwise ops, comparison, select/conditional</t>
        </is>
      </c>
      <c r="AB52" s="14" t="inlineStr">
        <is>
          <t>yes</t>
        </is>
      </c>
    </row>
    <row r="53">
      <c r="A53" s="14" t="inlineStr">
        <is>
          <t>life</t>
        </is>
      </c>
      <c r="B53" s="14" t="inlineStr">
        <is>
          <t>stencil-2d-cond</t>
        </is>
      </c>
      <c r="C53" s="14" t="inlineStr">
        <is>
          <t>m</t>
        </is>
      </c>
      <c r="D53" s="14" t="inlineStr">
        <is>
          <t>hash</t>
        </is>
      </c>
      <c r="E53" s="14" t="inlineStr">
        <is>
          <t>254,254</t>
        </is>
      </c>
      <c r="F53" s="5" t="n">
        <v>64516</v>
      </c>
      <c r="G53" s="15" t="n">
        <v>135637</v>
      </c>
      <c r="H53" s="15" t="n">
        <v>215250</v>
      </c>
      <c r="I53" s="17" t="n"/>
      <c r="J53" s="17" t="n"/>
      <c r="K53" s="17" t="n"/>
      <c r="L53" s="7">
        <f>IF(AND(ISNUMBER(I53),ISNUMBER(G53)),I53/G53,"")</f>
        <v/>
      </c>
      <c r="M53" s="7">
        <f>IF(AND(ISNUMBER(I53),ISNUMBER(H53)),I53/H53,"")</f>
        <v/>
      </c>
      <c r="N53" s="7">
        <f>IF(AND(ISNUMBER(H53),ISNUMBER(G53)),H53/G53,"")</f>
        <v/>
      </c>
      <c r="O53" s="9">
        <f>IF(AND(ISNUMBER(J53),ISNUMBER(G53)),J53/G53,"")</f>
        <v/>
      </c>
      <c r="P53" s="14">
        <f>IF(L53="","n/a",IF(L53&lt;0.95,"Lead",IF(L53&gt;1.05,"Lag","Parity")))</f>
        <v/>
      </c>
      <c r="Q53" s="14">
        <f>IF(M53="","n/a",IF(M53&lt;0.95,"Lead",IF(M53&gt;1.05,"Lag","Parity")))</f>
        <v/>
      </c>
      <c r="R53" s="14" t="inlineStr">
        <is>
          <t>unsupported</t>
        </is>
      </c>
      <c r="S53" s="14" t="inlineStr">
        <is>
          <t>unsupported</t>
        </is>
      </c>
      <c r="T53" s="14" t="n"/>
      <c r="U53" s="8" t="n"/>
      <c r="V53" s="8" t="n"/>
      <c r="W53" s="10" t="n"/>
      <c r="X53" s="10" t="n"/>
      <c r="Y53" s="10" t="n"/>
      <c r="Z53" s="10" t="n"/>
      <c r="AA53" s="6" t="inlineStr">
        <is>
          <t>NOT_EXPRESSIBLE / bitwise ops, comparison, select/conditional</t>
        </is>
      </c>
      <c r="AB53" s="14" t="inlineStr">
        <is>
          <t>yes</t>
        </is>
      </c>
    </row>
    <row r="54">
      <c r="A54" s="14" t="inlineStr">
        <is>
          <t>life</t>
        </is>
      </c>
      <c r="B54" s="14" t="inlineStr">
        <is>
          <t>stencil-2d-cond</t>
        </is>
      </c>
      <c r="C54" s="14" t="inlineStr">
        <is>
          <t>m</t>
        </is>
      </c>
      <c r="D54" s="14" t="inlineStr">
        <is>
          <t>max</t>
        </is>
      </c>
      <c r="E54" s="14" t="inlineStr">
        <is>
          <t>254,254</t>
        </is>
      </c>
      <c r="F54" s="5" t="n">
        <v>64516</v>
      </c>
      <c r="G54" s="15" t="n">
        <v>133100</v>
      </c>
      <c r="H54" s="15" t="n">
        <v>209600</v>
      </c>
      <c r="I54" s="17" t="n"/>
      <c r="J54" s="17" t="n"/>
      <c r="K54" s="17" t="n"/>
      <c r="L54" s="7">
        <f>IF(AND(ISNUMBER(I54),ISNUMBER(G54)),I54/G54,"")</f>
        <v/>
      </c>
      <c r="M54" s="7">
        <f>IF(AND(ISNUMBER(I54),ISNUMBER(H54)),I54/H54,"")</f>
        <v/>
      </c>
      <c r="N54" s="7">
        <f>IF(AND(ISNUMBER(H54),ISNUMBER(G54)),H54/G54,"")</f>
        <v/>
      </c>
      <c r="O54" s="9">
        <f>IF(AND(ISNUMBER(J54),ISNUMBER(G54)),J54/G54,"")</f>
        <v/>
      </c>
      <c r="P54" s="14">
        <f>IF(L54="","n/a",IF(L54&lt;0.95,"Lead",IF(L54&gt;1.05,"Lag","Parity")))</f>
        <v/>
      </c>
      <c r="Q54" s="14">
        <f>IF(M54="","n/a",IF(M54&lt;0.95,"Lead",IF(M54&gt;1.05,"Lag","Parity")))</f>
        <v/>
      </c>
      <c r="R54" s="14" t="inlineStr">
        <is>
          <t>unsupported</t>
        </is>
      </c>
      <c r="S54" s="14" t="inlineStr">
        <is>
          <t>unsupported</t>
        </is>
      </c>
      <c r="T54" s="14" t="n"/>
      <c r="U54" s="8" t="n"/>
      <c r="V54" s="8" t="n"/>
      <c r="W54" s="10" t="n"/>
      <c r="X54" s="10" t="n"/>
      <c r="Y54" s="10" t="n"/>
      <c r="Z54" s="10" t="n"/>
      <c r="AA54" s="6" t="inlineStr">
        <is>
          <t>NOT_EXPRESSIBLE / bitwise ops, comparison, select/conditional</t>
        </is>
      </c>
      <c r="AB54" s="14" t="inlineStr">
        <is>
          <t>yes</t>
        </is>
      </c>
    </row>
    <row r="55">
      <c r="A55" s="14" t="inlineStr">
        <is>
          <t>life</t>
        </is>
      </c>
      <c r="B55" s="14" t="inlineStr">
        <is>
          <t>stencil-2d-cond</t>
        </is>
      </c>
      <c r="C55" s="14" t="inlineStr">
        <is>
          <t>m</t>
        </is>
      </c>
      <c r="D55" s="14" t="inlineStr">
        <is>
          <t>ramp</t>
        </is>
      </c>
      <c r="E55" s="14" t="inlineStr">
        <is>
          <t>254,254</t>
        </is>
      </c>
      <c r="F55" s="5" t="n">
        <v>64516</v>
      </c>
      <c r="G55" s="15" t="n">
        <v>148249</v>
      </c>
      <c r="H55" s="15" t="n">
        <v>215125</v>
      </c>
      <c r="I55" s="17" t="n"/>
      <c r="J55" s="17" t="n"/>
      <c r="K55" s="17" t="n"/>
      <c r="L55" s="7">
        <f>IF(AND(ISNUMBER(I55),ISNUMBER(G55)),I55/G55,"")</f>
        <v/>
      </c>
      <c r="M55" s="7">
        <f>IF(AND(ISNUMBER(I55),ISNUMBER(H55)),I55/H55,"")</f>
        <v/>
      </c>
      <c r="N55" s="7">
        <f>IF(AND(ISNUMBER(H55),ISNUMBER(G55)),H55/G55,"")</f>
        <v/>
      </c>
      <c r="O55" s="9">
        <f>IF(AND(ISNUMBER(J55),ISNUMBER(G55)),J55/G55,"")</f>
        <v/>
      </c>
      <c r="P55" s="14">
        <f>IF(L55="","n/a",IF(L55&lt;0.95,"Lead",IF(L55&gt;1.05,"Lag","Parity")))</f>
        <v/>
      </c>
      <c r="Q55" s="14">
        <f>IF(M55="","n/a",IF(M55&lt;0.95,"Lead",IF(M55&gt;1.05,"Lag","Parity")))</f>
        <v/>
      </c>
      <c r="R55" s="14" t="inlineStr">
        <is>
          <t>unsupported</t>
        </is>
      </c>
      <c r="S55" s="14" t="inlineStr">
        <is>
          <t>unsupported</t>
        </is>
      </c>
      <c r="T55" s="14" t="n"/>
      <c r="U55" s="8" t="n"/>
      <c r="V55" s="8" t="n"/>
      <c r="W55" s="10" t="n"/>
      <c r="X55" s="10" t="n"/>
      <c r="Y55" s="10" t="n"/>
      <c r="Z55" s="10" t="n"/>
      <c r="AA55" s="6" t="inlineStr">
        <is>
          <t>NOT_EXPRESSIBLE / bitwise ops, comparison, select/conditional</t>
        </is>
      </c>
      <c r="AB55" s="14" t="inlineStr">
        <is>
          <t>yes</t>
        </is>
      </c>
    </row>
    <row r="56">
      <c r="A56" s="14" t="inlineStr">
        <is>
          <t>life</t>
        </is>
      </c>
      <c r="B56" s="14" t="inlineStr">
        <is>
          <t>stencil-2d-cond</t>
        </is>
      </c>
      <c r="C56" s="14" t="inlineStr">
        <is>
          <t>l</t>
        </is>
      </c>
      <c r="D56" s="14" t="inlineStr">
        <is>
          <t>hash</t>
        </is>
      </c>
      <c r="E56" s="14" t="inlineStr">
        <is>
          <t>2046,2046</t>
        </is>
      </c>
      <c r="F56" s="5" t="n">
        <v>4186116</v>
      </c>
      <c r="G56" s="15" t="n">
        <v>9194050</v>
      </c>
      <c r="H56" s="15" t="n">
        <v>14478950</v>
      </c>
      <c r="I56" s="17" t="n"/>
      <c r="J56" s="17" t="n"/>
      <c r="K56" s="17" t="n"/>
      <c r="L56" s="7">
        <f>IF(AND(ISNUMBER(I56),ISNUMBER(G56)),I56/G56,"")</f>
        <v/>
      </c>
      <c r="M56" s="7">
        <f>IF(AND(ISNUMBER(I56),ISNUMBER(H56)),I56/H56,"")</f>
        <v/>
      </c>
      <c r="N56" s="7">
        <f>IF(AND(ISNUMBER(H56),ISNUMBER(G56)),H56/G56,"")</f>
        <v/>
      </c>
      <c r="O56" s="9">
        <f>IF(AND(ISNUMBER(J56),ISNUMBER(G56)),J56/G56,"")</f>
        <v/>
      </c>
      <c r="P56" s="14">
        <f>IF(L56="","n/a",IF(L56&lt;0.95,"Lead",IF(L56&gt;1.05,"Lag","Parity")))</f>
        <v/>
      </c>
      <c r="Q56" s="14">
        <f>IF(M56="","n/a",IF(M56&lt;0.95,"Lead",IF(M56&gt;1.05,"Lag","Parity")))</f>
        <v/>
      </c>
      <c r="R56" s="14" t="inlineStr">
        <is>
          <t>unsupported</t>
        </is>
      </c>
      <c r="S56" s="14" t="inlineStr">
        <is>
          <t>unsupported</t>
        </is>
      </c>
      <c r="T56" s="14" t="n"/>
      <c r="U56" s="8" t="n"/>
      <c r="V56" s="8" t="n"/>
      <c r="W56" s="10" t="n"/>
      <c r="X56" s="10" t="n"/>
      <c r="Y56" s="10" t="n"/>
      <c r="Z56" s="10" t="n"/>
      <c r="AA56" s="6" t="inlineStr">
        <is>
          <t>NOT_EXPRESSIBLE / bitwise ops, comparison, select/conditional</t>
        </is>
      </c>
      <c r="AB56" s="14" t="inlineStr">
        <is>
          <t>yes</t>
        </is>
      </c>
    </row>
    <row r="57">
      <c r="A57" s="14" t="inlineStr">
        <is>
          <t>life</t>
        </is>
      </c>
      <c r="B57" s="14" t="inlineStr">
        <is>
          <t>stencil-2d-cond</t>
        </is>
      </c>
      <c r="C57" s="14" t="inlineStr">
        <is>
          <t>l</t>
        </is>
      </c>
      <c r="D57" s="14" t="inlineStr">
        <is>
          <t>max</t>
        </is>
      </c>
      <c r="E57" s="14" t="inlineStr">
        <is>
          <t>2046,2046</t>
        </is>
      </c>
      <c r="F57" s="5" t="n">
        <v>4186116</v>
      </c>
      <c r="G57" s="15" t="n">
        <v>9215400</v>
      </c>
      <c r="H57" s="15" t="n">
        <v>14245700</v>
      </c>
      <c r="I57" s="17" t="n"/>
      <c r="J57" s="17" t="n"/>
      <c r="K57" s="17" t="n"/>
      <c r="L57" s="7">
        <f>IF(AND(ISNUMBER(I57),ISNUMBER(G57)),I57/G57,"")</f>
        <v/>
      </c>
      <c r="M57" s="7">
        <f>IF(AND(ISNUMBER(I57),ISNUMBER(H57)),I57/H57,"")</f>
        <v/>
      </c>
      <c r="N57" s="7">
        <f>IF(AND(ISNUMBER(H57),ISNUMBER(G57)),H57/G57,"")</f>
        <v/>
      </c>
      <c r="O57" s="9">
        <f>IF(AND(ISNUMBER(J57),ISNUMBER(G57)),J57/G57,"")</f>
        <v/>
      </c>
      <c r="P57" s="14">
        <f>IF(L57="","n/a",IF(L57&lt;0.95,"Lead",IF(L57&gt;1.05,"Lag","Parity")))</f>
        <v/>
      </c>
      <c r="Q57" s="14">
        <f>IF(M57="","n/a",IF(M57&lt;0.95,"Lead",IF(M57&gt;1.05,"Lag","Parity")))</f>
        <v/>
      </c>
      <c r="R57" s="14" t="inlineStr">
        <is>
          <t>unsupported</t>
        </is>
      </c>
      <c r="S57" s="14" t="inlineStr">
        <is>
          <t>unsupported</t>
        </is>
      </c>
      <c r="T57" s="14" t="n"/>
      <c r="U57" s="8" t="n"/>
      <c r="V57" s="8" t="n"/>
      <c r="W57" s="10" t="n"/>
      <c r="X57" s="10" t="n"/>
      <c r="Y57" s="10" t="n"/>
      <c r="Z57" s="10" t="n"/>
      <c r="AA57" s="6" t="inlineStr">
        <is>
          <t>NOT_EXPRESSIBLE / bitwise ops, comparison, select/conditional</t>
        </is>
      </c>
      <c r="AB57" s="14" t="inlineStr">
        <is>
          <t>yes</t>
        </is>
      </c>
    </row>
    <row r="58">
      <c r="A58" s="14" t="inlineStr">
        <is>
          <t>life</t>
        </is>
      </c>
      <c r="B58" s="14" t="inlineStr">
        <is>
          <t>stencil-2d-cond</t>
        </is>
      </c>
      <c r="C58" s="14" t="inlineStr">
        <is>
          <t>l</t>
        </is>
      </c>
      <c r="D58" s="14" t="inlineStr">
        <is>
          <t>ramp</t>
        </is>
      </c>
      <c r="E58" s="14" t="inlineStr">
        <is>
          <t>2046,2046</t>
        </is>
      </c>
      <c r="F58" s="5" t="n">
        <v>4186116</v>
      </c>
      <c r="G58" s="15" t="n">
        <v>9279100</v>
      </c>
      <c r="H58" s="15" t="n">
        <v>14424400</v>
      </c>
      <c r="I58" s="17" t="n"/>
      <c r="J58" s="17" t="n"/>
      <c r="K58" s="17" t="n"/>
      <c r="L58" s="7">
        <f>IF(AND(ISNUMBER(I58),ISNUMBER(G58)),I58/G58,"")</f>
        <v/>
      </c>
      <c r="M58" s="7">
        <f>IF(AND(ISNUMBER(I58),ISNUMBER(H58)),I58/H58,"")</f>
        <v/>
      </c>
      <c r="N58" s="7">
        <f>IF(AND(ISNUMBER(H58),ISNUMBER(G58)),H58/G58,"")</f>
        <v/>
      </c>
      <c r="O58" s="9">
        <f>IF(AND(ISNUMBER(J58),ISNUMBER(G58)),J58/G58,"")</f>
        <v/>
      </c>
      <c r="P58" s="14">
        <f>IF(L58="","n/a",IF(L58&lt;0.95,"Lead",IF(L58&gt;1.05,"Lag","Parity")))</f>
        <v/>
      </c>
      <c r="Q58" s="14">
        <f>IF(M58="","n/a",IF(M58&lt;0.95,"Lead",IF(M58&gt;1.05,"Lag","Parity")))</f>
        <v/>
      </c>
      <c r="R58" s="14" t="inlineStr">
        <is>
          <t>unsupported</t>
        </is>
      </c>
      <c r="S58" s="14" t="inlineStr">
        <is>
          <t>unsupported</t>
        </is>
      </c>
      <c r="T58" s="14" t="n"/>
      <c r="U58" s="8" t="n"/>
      <c r="V58" s="8" t="n"/>
      <c r="W58" s="10" t="n"/>
      <c r="X58" s="10" t="n"/>
      <c r="Y58" s="10" t="n"/>
      <c r="Z58" s="10" t="n"/>
      <c r="AA58" s="6" t="inlineStr">
        <is>
          <t>NOT_EXPRESSIBLE / bitwise ops, comparison, select/conditional</t>
        </is>
      </c>
      <c r="AB58" s="14" t="inlineStr">
        <is>
          <t>yes</t>
        </is>
      </c>
    </row>
    <row r="59">
      <c r="A59" s="14" t="inlineStr">
        <is>
          <t>polymap</t>
        </is>
      </c>
      <c r="B59" s="14" t="inlineStr">
        <is>
          <t>elementwise</t>
        </is>
      </c>
      <c r="C59" s="14" t="inlineStr">
        <is>
          <t>s</t>
        </is>
      </c>
      <c r="D59" s="14" t="inlineStr">
        <is>
          <t>hash</t>
        </is>
      </c>
      <c r="E59" s="14" t="inlineStr">
        <is>
          <t>256,0</t>
        </is>
      </c>
      <c r="F59" s="5" t="n">
        <v>256</v>
      </c>
      <c r="G59" s="15" t="n">
        <v>181</v>
      </c>
      <c r="H59" s="15" t="n">
        <v>262</v>
      </c>
      <c r="I59" s="17" t="n"/>
      <c r="J59" s="15" t="n">
        <v>52431800</v>
      </c>
      <c r="K59" s="17" t="n"/>
      <c r="L59" s="7">
        <f>IF(AND(ISNUMBER(I59),ISNUMBER(G59)),I59/G59,"")</f>
        <v/>
      </c>
      <c r="M59" s="7">
        <f>IF(AND(ISNUMBER(I59),ISNUMBER(H59)),I59/H59,"")</f>
        <v/>
      </c>
      <c r="N59" s="7">
        <f>IF(AND(ISNUMBER(H59),ISNUMBER(G59)),H59/G59,"")</f>
        <v/>
      </c>
      <c r="O59" s="9">
        <f>IF(AND(ISNUMBER(J59),ISNUMBER(G59)),J59/G59,"")</f>
        <v/>
      </c>
      <c r="P59" s="14">
        <f>IF(L59="","n/a",IF(L59&lt;0.95,"Lead",IF(L59&gt;1.05,"Lag","Parity")))</f>
        <v/>
      </c>
      <c r="Q59" s="14">
        <f>IF(M59="","n/a",IF(M59&lt;0.95,"Lead",IF(M59&gt;1.05,"Lag","Parity")))</f>
        <v/>
      </c>
      <c r="R59" s="14" t="inlineStr">
        <is>
          <t>blocked</t>
        </is>
      </c>
      <c r="S59" s="14" t="inlineStr">
        <is>
          <t>ok</t>
        </is>
      </c>
      <c r="T59" s="14" t="n"/>
      <c r="U59" s="8" t="n"/>
      <c r="V59" s="8" t="n"/>
      <c r="W59" s="10" t="n"/>
      <c r="X59" s="10" t="n"/>
      <c r="Y59" s="10" t="n"/>
      <c r="Z59" s="16" t="n">
        <v>216.5</v>
      </c>
      <c r="AA59" s="6" t="inlineStr"/>
      <c r="AB59" s="14" t="inlineStr">
        <is>
          <t>yes</t>
        </is>
      </c>
    </row>
    <row r="60">
      <c r="A60" s="14" t="inlineStr">
        <is>
          <t>polymap</t>
        </is>
      </c>
      <c r="B60" s="14" t="inlineStr">
        <is>
          <t>elementwise</t>
        </is>
      </c>
      <c r="C60" s="14" t="inlineStr">
        <is>
          <t>s</t>
        </is>
      </c>
      <c r="D60" s="14" t="inlineStr">
        <is>
          <t>max</t>
        </is>
      </c>
      <c r="E60" s="14" t="inlineStr">
        <is>
          <t>256,0</t>
        </is>
      </c>
      <c r="F60" s="5" t="n">
        <v>256</v>
      </c>
      <c r="G60" s="15" t="n">
        <v>179</v>
      </c>
      <c r="H60" s="15" t="n">
        <v>262</v>
      </c>
      <c r="I60" s="15" t="n">
        <v>202</v>
      </c>
      <c r="J60" s="15" t="n">
        <v>52308600</v>
      </c>
      <c r="K60" s="17" t="n"/>
      <c r="L60" s="7">
        <f>IF(AND(ISNUMBER(I60),ISNUMBER(G60)),I60/G60,"")</f>
        <v/>
      </c>
      <c r="M60" s="7">
        <f>IF(AND(ISNUMBER(I60),ISNUMBER(H60)),I60/H60,"")</f>
        <v/>
      </c>
      <c r="N60" s="7">
        <f>IF(AND(ISNUMBER(H60),ISNUMBER(G60)),H60/G60,"")</f>
        <v/>
      </c>
      <c r="O60" s="9">
        <f>IF(AND(ISNUMBER(J60),ISNUMBER(G60)),J60/G60,"")</f>
        <v/>
      </c>
      <c r="P60" s="14">
        <f>IF(L60="","n/a",IF(L60&lt;0.95,"Lead",IF(L60&gt;1.05,"Lag","Parity")))</f>
        <v/>
      </c>
      <c r="Q60" s="14">
        <f>IF(M60="","n/a",IF(M60&lt;0.95,"Lead",IF(M60&gt;1.05,"Lag","Parity")))</f>
        <v/>
      </c>
      <c r="R60" s="14" t="inlineStr">
        <is>
          <t>ok</t>
        </is>
      </c>
      <c r="S60" s="14" t="inlineStr">
        <is>
          <t>ok</t>
        </is>
      </c>
      <c r="T60" s="14" t="inlineStr">
        <is>
          <t>inline-v1</t>
        </is>
      </c>
      <c r="U60" s="5" t="n">
        <v>768</v>
      </c>
      <c r="V60" s="5" t="n">
        <v>0</v>
      </c>
      <c r="W60" s="16" t="n">
        <v>446.5</v>
      </c>
      <c r="X60" s="16" t="n">
        <v>79.09999999999999</v>
      </c>
      <c r="Y60" s="16" t="n">
        <v>367.4</v>
      </c>
      <c r="Z60" s="16" t="n">
        <v>217.3</v>
      </c>
      <c r="AA60" s="6" t="inlineStr"/>
      <c r="AB60" s="14" t="inlineStr">
        <is>
          <t>yes</t>
        </is>
      </c>
    </row>
    <row r="61">
      <c r="A61" s="14" t="inlineStr">
        <is>
          <t>polymap</t>
        </is>
      </c>
      <c r="B61" s="14" t="inlineStr">
        <is>
          <t>elementwise</t>
        </is>
      </c>
      <c r="C61" s="14" t="inlineStr">
        <is>
          <t>s</t>
        </is>
      </c>
      <c r="D61" s="14" t="inlineStr">
        <is>
          <t>ramp</t>
        </is>
      </c>
      <c r="E61" s="14" t="inlineStr">
        <is>
          <t>256,0</t>
        </is>
      </c>
      <c r="F61" s="5" t="n">
        <v>256</v>
      </c>
      <c r="G61" s="15" t="n">
        <v>181</v>
      </c>
      <c r="H61" s="15" t="n">
        <v>263</v>
      </c>
      <c r="I61" s="15" t="n">
        <v>225</v>
      </c>
      <c r="J61" s="15" t="n">
        <v>54429700</v>
      </c>
      <c r="K61" s="17" t="n"/>
      <c r="L61" s="7">
        <f>IF(AND(ISNUMBER(I61),ISNUMBER(G61)),I61/G61,"")</f>
        <v/>
      </c>
      <c r="M61" s="7">
        <f>IF(AND(ISNUMBER(I61),ISNUMBER(H61)),I61/H61,"")</f>
        <v/>
      </c>
      <c r="N61" s="7">
        <f>IF(AND(ISNUMBER(H61),ISNUMBER(G61)),H61/G61,"")</f>
        <v/>
      </c>
      <c r="O61" s="9">
        <f>IF(AND(ISNUMBER(J61),ISNUMBER(G61)),J61/G61,"")</f>
        <v/>
      </c>
      <c r="P61" s="14">
        <f>IF(L61="","n/a",IF(L61&lt;0.95,"Lead",IF(L61&gt;1.05,"Lag","Parity")))</f>
        <v/>
      </c>
      <c r="Q61" s="14">
        <f>IF(M61="","n/a",IF(M61&lt;0.95,"Lead",IF(M61&gt;1.05,"Lag","Parity")))</f>
        <v/>
      </c>
      <c r="R61" s="14" t="inlineStr">
        <is>
          <t>ok</t>
        </is>
      </c>
      <c r="S61" s="14" t="inlineStr">
        <is>
          <t>ok</t>
        </is>
      </c>
      <c r="T61" s="14" t="inlineStr">
        <is>
          <t>inline-v1</t>
        </is>
      </c>
      <c r="U61" s="5" t="n">
        <v>768</v>
      </c>
      <c r="V61" s="5" t="n">
        <v>0</v>
      </c>
      <c r="W61" s="16" t="n">
        <v>394.7</v>
      </c>
      <c r="X61" s="16" t="n">
        <v>72.3</v>
      </c>
      <c r="Y61" s="16" t="n">
        <v>322.4</v>
      </c>
      <c r="Z61" s="16" t="n">
        <v>215.4</v>
      </c>
      <c r="AA61" s="6" t="inlineStr"/>
      <c r="AB61" s="14" t="inlineStr">
        <is>
          <t>yes</t>
        </is>
      </c>
    </row>
    <row r="62">
      <c r="A62" s="14" t="inlineStr">
        <is>
          <t>polymap</t>
        </is>
      </c>
      <c r="B62" s="14" t="inlineStr">
        <is>
          <t>elementwise</t>
        </is>
      </c>
      <c r="C62" s="14" t="inlineStr">
        <is>
          <t>m</t>
        </is>
      </c>
      <c r="D62" s="14" t="inlineStr">
        <is>
          <t>hash</t>
        </is>
      </c>
      <c r="E62" s="14" t="inlineStr">
        <is>
          <t>65536,0</t>
        </is>
      </c>
      <c r="F62" s="5" t="n">
        <v>65536</v>
      </c>
      <c r="G62" s="15" t="n">
        <v>45125</v>
      </c>
      <c r="H62" s="15" t="n">
        <v>65668</v>
      </c>
      <c r="I62" s="17" t="n"/>
      <c r="J62" s="17" t="n"/>
      <c r="K62" s="17" t="n"/>
      <c r="L62" s="7">
        <f>IF(AND(ISNUMBER(I62),ISNUMBER(G62)),I62/G62,"")</f>
        <v/>
      </c>
      <c r="M62" s="7">
        <f>IF(AND(ISNUMBER(I62),ISNUMBER(H62)),I62/H62,"")</f>
        <v/>
      </c>
      <c r="N62" s="7">
        <f>IF(AND(ISNUMBER(H62),ISNUMBER(G62)),H62/G62,"")</f>
        <v/>
      </c>
      <c r="O62" s="9">
        <f>IF(AND(ISNUMBER(J62),ISNUMBER(G62)),J62/G62,"")</f>
        <v/>
      </c>
      <c r="P62" s="14">
        <f>IF(L62="","n/a",IF(L62&lt;0.95,"Lead",IF(L62&gt;1.05,"Lag","Parity")))</f>
        <v/>
      </c>
      <c r="Q62" s="14">
        <f>IF(M62="","n/a",IF(M62&lt;0.95,"Lead",IF(M62&gt;1.05,"Lag","Parity")))</f>
        <v/>
      </c>
      <c r="R62" s="14" t="inlineStr">
        <is>
          <t>unsupported</t>
        </is>
      </c>
      <c r="S62" s="14" t="inlineStr">
        <is>
          <t>unsupported</t>
        </is>
      </c>
      <c r="T62" s="14" t="n"/>
      <c r="U62" s="8" t="n"/>
      <c r="V62" s="8" t="n"/>
      <c r="W62" s="10" t="n"/>
      <c r="X62" s="10" t="n"/>
      <c r="Y62" s="10" t="n"/>
      <c r="Z62" s="10" t="n"/>
      <c r="AA62" s="6" t="inlineStr">
        <is>
          <t>UNSUPPORTED_PROFILE / input exceeds 256 cells</t>
        </is>
      </c>
      <c r="AB62" s="14" t="inlineStr">
        <is>
          <t>yes</t>
        </is>
      </c>
    </row>
    <row r="63">
      <c r="A63" s="14" t="inlineStr">
        <is>
          <t>polymap</t>
        </is>
      </c>
      <c r="B63" s="14" t="inlineStr">
        <is>
          <t>elementwise</t>
        </is>
      </c>
      <c r="C63" s="14" t="inlineStr">
        <is>
          <t>m</t>
        </is>
      </c>
      <c r="D63" s="14" t="inlineStr">
        <is>
          <t>max</t>
        </is>
      </c>
      <c r="E63" s="14" t="inlineStr">
        <is>
          <t>65536,0</t>
        </is>
      </c>
      <c r="F63" s="5" t="n">
        <v>65536</v>
      </c>
      <c r="G63" s="15" t="n">
        <v>44053</v>
      </c>
      <c r="H63" s="15" t="n">
        <v>64921</v>
      </c>
      <c r="I63" s="17" t="n"/>
      <c r="J63" s="17" t="n"/>
      <c r="K63" s="17" t="n"/>
      <c r="L63" s="7">
        <f>IF(AND(ISNUMBER(I63),ISNUMBER(G63)),I63/G63,"")</f>
        <v/>
      </c>
      <c r="M63" s="7">
        <f>IF(AND(ISNUMBER(I63),ISNUMBER(H63)),I63/H63,"")</f>
        <v/>
      </c>
      <c r="N63" s="7">
        <f>IF(AND(ISNUMBER(H63),ISNUMBER(G63)),H63/G63,"")</f>
        <v/>
      </c>
      <c r="O63" s="9">
        <f>IF(AND(ISNUMBER(J63),ISNUMBER(G63)),J63/G63,"")</f>
        <v/>
      </c>
      <c r="P63" s="14">
        <f>IF(L63="","n/a",IF(L63&lt;0.95,"Lead",IF(L63&gt;1.05,"Lag","Parity")))</f>
        <v/>
      </c>
      <c r="Q63" s="14">
        <f>IF(M63="","n/a",IF(M63&lt;0.95,"Lead",IF(M63&gt;1.05,"Lag","Parity")))</f>
        <v/>
      </c>
      <c r="R63" s="14" t="inlineStr">
        <is>
          <t>unsupported</t>
        </is>
      </c>
      <c r="S63" s="14" t="inlineStr">
        <is>
          <t>unsupported</t>
        </is>
      </c>
      <c r="T63" s="14" t="n"/>
      <c r="U63" s="8" t="n"/>
      <c r="V63" s="8" t="n"/>
      <c r="W63" s="10" t="n"/>
      <c r="X63" s="10" t="n"/>
      <c r="Y63" s="10" t="n"/>
      <c r="Z63" s="10" t="n"/>
      <c r="AA63" s="6" t="inlineStr">
        <is>
          <t>UNSUPPORTED_PROFILE / input exceeds 256 cells</t>
        </is>
      </c>
      <c r="AB63" s="14" t="inlineStr">
        <is>
          <t>yes</t>
        </is>
      </c>
    </row>
    <row r="64">
      <c r="A64" s="14" t="inlineStr">
        <is>
          <t>polymap</t>
        </is>
      </c>
      <c r="B64" s="14" t="inlineStr">
        <is>
          <t>elementwise</t>
        </is>
      </c>
      <c r="C64" s="14" t="inlineStr">
        <is>
          <t>m</t>
        </is>
      </c>
      <c r="D64" s="14" t="inlineStr">
        <is>
          <t>ramp</t>
        </is>
      </c>
      <c r="E64" s="14" t="inlineStr">
        <is>
          <t>65536,0</t>
        </is>
      </c>
      <c r="F64" s="5" t="n">
        <v>65536</v>
      </c>
      <c r="G64" s="15" t="n">
        <v>43896</v>
      </c>
      <c r="H64" s="15" t="n">
        <v>65731</v>
      </c>
      <c r="I64" s="17" t="n"/>
      <c r="J64" s="17" t="n"/>
      <c r="K64" s="17" t="n"/>
      <c r="L64" s="7">
        <f>IF(AND(ISNUMBER(I64),ISNUMBER(G64)),I64/G64,"")</f>
        <v/>
      </c>
      <c r="M64" s="7">
        <f>IF(AND(ISNUMBER(I64),ISNUMBER(H64)),I64/H64,"")</f>
        <v/>
      </c>
      <c r="N64" s="7">
        <f>IF(AND(ISNUMBER(H64),ISNUMBER(G64)),H64/G64,"")</f>
        <v/>
      </c>
      <c r="O64" s="9">
        <f>IF(AND(ISNUMBER(J64),ISNUMBER(G64)),J64/G64,"")</f>
        <v/>
      </c>
      <c r="P64" s="14">
        <f>IF(L64="","n/a",IF(L64&lt;0.95,"Lead",IF(L64&gt;1.05,"Lag","Parity")))</f>
        <v/>
      </c>
      <c r="Q64" s="14">
        <f>IF(M64="","n/a",IF(M64&lt;0.95,"Lead",IF(M64&gt;1.05,"Lag","Parity")))</f>
        <v/>
      </c>
      <c r="R64" s="14" t="inlineStr">
        <is>
          <t>unsupported</t>
        </is>
      </c>
      <c r="S64" s="14" t="inlineStr">
        <is>
          <t>unsupported</t>
        </is>
      </c>
      <c r="T64" s="14" t="n"/>
      <c r="U64" s="8" t="n"/>
      <c r="V64" s="8" t="n"/>
      <c r="W64" s="10" t="n"/>
      <c r="X64" s="10" t="n"/>
      <c r="Y64" s="10" t="n"/>
      <c r="Z64" s="10" t="n"/>
      <c r="AA64" s="6" t="inlineStr">
        <is>
          <t>UNSUPPORTED_PROFILE / input exceeds 256 cells</t>
        </is>
      </c>
      <c r="AB64" s="14" t="inlineStr">
        <is>
          <t>yes</t>
        </is>
      </c>
    </row>
    <row r="65">
      <c r="A65" s="14" t="inlineStr">
        <is>
          <t>polymap</t>
        </is>
      </c>
      <c r="B65" s="14" t="inlineStr">
        <is>
          <t>elementwise</t>
        </is>
      </c>
      <c r="C65" s="14" t="inlineStr">
        <is>
          <t>l</t>
        </is>
      </c>
      <c r="D65" s="14" t="inlineStr">
        <is>
          <t>hash</t>
        </is>
      </c>
      <c r="E65" s="14" t="inlineStr">
        <is>
          <t>4194304,0</t>
        </is>
      </c>
      <c r="F65" s="5" t="n">
        <v>4194304</v>
      </c>
      <c r="G65" s="15" t="n">
        <v>4470800</v>
      </c>
      <c r="H65" s="15" t="n">
        <v>5194850</v>
      </c>
      <c r="I65" s="17" t="n"/>
      <c r="J65" s="17" t="n"/>
      <c r="K65" s="17" t="n"/>
      <c r="L65" s="7">
        <f>IF(AND(ISNUMBER(I65),ISNUMBER(G65)),I65/G65,"")</f>
        <v/>
      </c>
      <c r="M65" s="7">
        <f>IF(AND(ISNUMBER(I65),ISNUMBER(H65)),I65/H65,"")</f>
        <v/>
      </c>
      <c r="N65" s="7">
        <f>IF(AND(ISNUMBER(H65),ISNUMBER(G65)),H65/G65,"")</f>
        <v/>
      </c>
      <c r="O65" s="9">
        <f>IF(AND(ISNUMBER(J65),ISNUMBER(G65)),J65/G65,"")</f>
        <v/>
      </c>
      <c r="P65" s="14">
        <f>IF(L65="","n/a",IF(L65&lt;0.95,"Lead",IF(L65&gt;1.05,"Lag","Parity")))</f>
        <v/>
      </c>
      <c r="Q65" s="14">
        <f>IF(M65="","n/a",IF(M65&lt;0.95,"Lead",IF(M65&gt;1.05,"Lag","Parity")))</f>
        <v/>
      </c>
      <c r="R65" s="14" t="inlineStr">
        <is>
          <t>unsupported</t>
        </is>
      </c>
      <c r="S65" s="14" t="inlineStr">
        <is>
          <t>unsupported</t>
        </is>
      </c>
      <c r="T65" s="14" t="n"/>
      <c r="U65" s="8" t="n"/>
      <c r="V65" s="8" t="n"/>
      <c r="W65" s="10" t="n"/>
      <c r="X65" s="10" t="n"/>
      <c r="Y65" s="10" t="n"/>
      <c r="Z65" s="10" t="n"/>
      <c r="AA65" s="6" t="inlineStr">
        <is>
          <t>UNSUPPORTED_PROFILE / input exceeds 256 cells</t>
        </is>
      </c>
      <c r="AB65" s="14" t="inlineStr">
        <is>
          <t>yes</t>
        </is>
      </c>
    </row>
    <row r="66">
      <c r="A66" s="14" t="inlineStr">
        <is>
          <t>polymap</t>
        </is>
      </c>
      <c r="B66" s="14" t="inlineStr">
        <is>
          <t>elementwise</t>
        </is>
      </c>
      <c r="C66" s="14" t="inlineStr">
        <is>
          <t>l</t>
        </is>
      </c>
      <c r="D66" s="14" t="inlineStr">
        <is>
          <t>max</t>
        </is>
      </c>
      <c r="E66" s="14" t="inlineStr">
        <is>
          <t>4194304,0</t>
        </is>
      </c>
      <c r="F66" s="5" t="n">
        <v>4194304</v>
      </c>
      <c r="G66" s="15" t="n">
        <v>4537800</v>
      </c>
      <c r="H66" s="15" t="n">
        <v>5612900</v>
      </c>
      <c r="I66" s="17" t="n"/>
      <c r="J66" s="17" t="n"/>
      <c r="K66" s="17" t="n"/>
      <c r="L66" s="7">
        <f>IF(AND(ISNUMBER(I66),ISNUMBER(G66)),I66/G66,"")</f>
        <v/>
      </c>
      <c r="M66" s="7">
        <f>IF(AND(ISNUMBER(I66),ISNUMBER(H66)),I66/H66,"")</f>
        <v/>
      </c>
      <c r="N66" s="7">
        <f>IF(AND(ISNUMBER(H66),ISNUMBER(G66)),H66/G66,"")</f>
        <v/>
      </c>
      <c r="O66" s="9">
        <f>IF(AND(ISNUMBER(J66),ISNUMBER(G66)),J66/G66,"")</f>
        <v/>
      </c>
      <c r="P66" s="14">
        <f>IF(L66="","n/a",IF(L66&lt;0.95,"Lead",IF(L66&gt;1.05,"Lag","Parity")))</f>
        <v/>
      </c>
      <c r="Q66" s="14">
        <f>IF(M66="","n/a",IF(M66&lt;0.95,"Lead",IF(M66&gt;1.05,"Lag","Parity")))</f>
        <v/>
      </c>
      <c r="R66" s="14" t="inlineStr">
        <is>
          <t>unsupported</t>
        </is>
      </c>
      <c r="S66" s="14" t="inlineStr">
        <is>
          <t>unsupported</t>
        </is>
      </c>
      <c r="T66" s="14" t="n"/>
      <c r="U66" s="8" t="n"/>
      <c r="V66" s="8" t="n"/>
      <c r="W66" s="10" t="n"/>
      <c r="X66" s="10" t="n"/>
      <c r="Y66" s="10" t="n"/>
      <c r="Z66" s="10" t="n"/>
      <c r="AA66" s="6" t="inlineStr">
        <is>
          <t>UNSUPPORTED_PROFILE / input exceeds 256 cells</t>
        </is>
      </c>
      <c r="AB66" s="14" t="inlineStr">
        <is>
          <t>yes</t>
        </is>
      </c>
    </row>
    <row r="67">
      <c r="A67" s="14" t="inlineStr">
        <is>
          <t>polymap</t>
        </is>
      </c>
      <c r="B67" s="14" t="inlineStr">
        <is>
          <t>elementwise</t>
        </is>
      </c>
      <c r="C67" s="14" t="inlineStr">
        <is>
          <t>l</t>
        </is>
      </c>
      <c r="D67" s="14" t="inlineStr">
        <is>
          <t>ramp</t>
        </is>
      </c>
      <c r="E67" s="14" t="inlineStr">
        <is>
          <t>4194304,0</t>
        </is>
      </c>
      <c r="F67" s="5" t="n">
        <v>4194304</v>
      </c>
      <c r="G67" s="15" t="n">
        <v>4678100</v>
      </c>
      <c r="H67" s="15" t="n">
        <v>5251000</v>
      </c>
      <c r="I67" s="17" t="n"/>
      <c r="J67" s="17" t="n"/>
      <c r="K67" s="17" t="n"/>
      <c r="L67" s="7">
        <f>IF(AND(ISNUMBER(I67),ISNUMBER(G67)),I67/G67,"")</f>
        <v/>
      </c>
      <c r="M67" s="7">
        <f>IF(AND(ISNUMBER(I67),ISNUMBER(H67)),I67/H67,"")</f>
        <v/>
      </c>
      <c r="N67" s="7">
        <f>IF(AND(ISNUMBER(H67),ISNUMBER(G67)),H67/G67,"")</f>
        <v/>
      </c>
      <c r="O67" s="9">
        <f>IF(AND(ISNUMBER(J67),ISNUMBER(G67)),J67/G67,"")</f>
        <v/>
      </c>
      <c r="P67" s="14">
        <f>IF(L67="","n/a",IF(L67&lt;0.95,"Lead",IF(L67&gt;1.05,"Lag","Parity")))</f>
        <v/>
      </c>
      <c r="Q67" s="14">
        <f>IF(M67="","n/a",IF(M67&lt;0.95,"Lead",IF(M67&gt;1.05,"Lag","Parity")))</f>
        <v/>
      </c>
      <c r="R67" s="14" t="inlineStr">
        <is>
          <t>unsupported</t>
        </is>
      </c>
      <c r="S67" s="14" t="inlineStr">
        <is>
          <t>unsupported</t>
        </is>
      </c>
      <c r="T67" s="14" t="n"/>
      <c r="U67" s="8" t="n"/>
      <c r="V67" s="8" t="n"/>
      <c r="W67" s="10" t="n"/>
      <c r="X67" s="10" t="n"/>
      <c r="Y67" s="10" t="n"/>
      <c r="Z67" s="10" t="n"/>
      <c r="AA67" s="6" t="inlineStr">
        <is>
          <t>UNSUPPORTED_PROFILE / input exceeds 256 cells</t>
        </is>
      </c>
      <c r="AB67" s="14" t="inlineStr">
        <is>
          <t>yes</t>
        </is>
      </c>
    </row>
    <row r="68">
      <c r="A68" s="14" t="inlineStr">
        <is>
          <t>transpose</t>
        </is>
      </c>
      <c r="B68" s="14" t="inlineStr">
        <is>
          <t>layout</t>
        </is>
      </c>
      <c r="C68" s="14" t="inlineStr">
        <is>
          <t>s</t>
        </is>
      </c>
      <c r="D68" s="14" t="inlineStr">
        <is>
          <t>hash</t>
        </is>
      </c>
      <c r="E68" s="14" t="inlineStr">
        <is>
          <t>16,16</t>
        </is>
      </c>
      <c r="F68" s="5" t="n">
        <v>256</v>
      </c>
      <c r="G68" s="15" t="n">
        <v>102</v>
      </c>
      <c r="H68" s="15" t="n">
        <v>283</v>
      </c>
      <c r="I68" s="17" t="n"/>
      <c r="J68" s="17" t="n"/>
      <c r="K68" s="17" t="n"/>
      <c r="L68" s="7">
        <f>IF(AND(ISNUMBER(I68),ISNUMBER(G68)),I68/G68,"")</f>
        <v/>
      </c>
      <c r="M68" s="7">
        <f>IF(AND(ISNUMBER(I68),ISNUMBER(H68)),I68/H68,"")</f>
        <v/>
      </c>
      <c r="N68" s="7">
        <f>IF(AND(ISNUMBER(H68),ISNUMBER(G68)),H68/G68,"")</f>
        <v/>
      </c>
      <c r="O68" s="9">
        <f>IF(AND(ISNUMBER(J68),ISNUMBER(G68)),J68/G68,"")</f>
        <v/>
      </c>
      <c r="P68" s="14">
        <f>IF(L68="","n/a",IF(L68&lt;0.95,"Lead",IF(L68&gt;1.05,"Lag","Parity")))</f>
        <v/>
      </c>
      <c r="Q68" s="14">
        <f>IF(M68="","n/a",IF(M68&lt;0.95,"Lead",IF(M68&gt;1.05,"Lag","Parity")))</f>
        <v/>
      </c>
      <c r="R68" s="14" t="inlineStr">
        <is>
          <t>unsupported</t>
        </is>
      </c>
      <c r="S68" s="14" t="inlineStr">
        <is>
          <t>unsupported</t>
        </is>
      </c>
      <c r="T68" s="14" t="n"/>
      <c r="U68" s="8" t="n"/>
      <c r="V68" s="8" t="n"/>
      <c r="W68" s="10" t="n"/>
      <c r="X68" s="10" t="n"/>
      <c r="Y68" s="10" t="n"/>
      <c r="Z68" s="10" t="n"/>
      <c r="AA68" s="6" t="inlineStr">
        <is>
          <t>UNSUPPORTED_PROFILE / requires exactly two shapes, one input, one producer and one output</t>
        </is>
      </c>
      <c r="AB68" s="14" t="inlineStr">
        <is>
          <t>yes</t>
        </is>
      </c>
    </row>
    <row r="69">
      <c r="A69" s="14" t="inlineStr">
        <is>
          <t>transpose</t>
        </is>
      </c>
      <c r="B69" s="14" t="inlineStr">
        <is>
          <t>layout</t>
        </is>
      </c>
      <c r="C69" s="14" t="inlineStr">
        <is>
          <t>s</t>
        </is>
      </c>
      <c r="D69" s="14" t="inlineStr">
        <is>
          <t>max</t>
        </is>
      </c>
      <c r="E69" s="14" t="inlineStr">
        <is>
          <t>16,16</t>
        </is>
      </c>
      <c r="F69" s="5" t="n">
        <v>256</v>
      </c>
      <c r="G69" s="15" t="n">
        <v>97</v>
      </c>
      <c r="H69" s="15" t="n">
        <v>254</v>
      </c>
      <c r="I69" s="17" t="n"/>
      <c r="J69" s="17" t="n"/>
      <c r="K69" s="17" t="n"/>
      <c r="L69" s="7">
        <f>IF(AND(ISNUMBER(I69),ISNUMBER(G69)),I69/G69,"")</f>
        <v/>
      </c>
      <c r="M69" s="7">
        <f>IF(AND(ISNUMBER(I69),ISNUMBER(H69)),I69/H69,"")</f>
        <v/>
      </c>
      <c r="N69" s="7">
        <f>IF(AND(ISNUMBER(H69),ISNUMBER(G69)),H69/G69,"")</f>
        <v/>
      </c>
      <c r="O69" s="9">
        <f>IF(AND(ISNUMBER(J69),ISNUMBER(G69)),J69/G69,"")</f>
        <v/>
      </c>
      <c r="P69" s="14">
        <f>IF(L69="","n/a",IF(L69&lt;0.95,"Lead",IF(L69&gt;1.05,"Lag","Parity")))</f>
        <v/>
      </c>
      <c r="Q69" s="14">
        <f>IF(M69="","n/a",IF(M69&lt;0.95,"Lead",IF(M69&gt;1.05,"Lag","Parity")))</f>
        <v/>
      </c>
      <c r="R69" s="14" t="inlineStr">
        <is>
          <t>unsupported</t>
        </is>
      </c>
      <c r="S69" s="14" t="inlineStr">
        <is>
          <t>unsupported</t>
        </is>
      </c>
      <c r="T69" s="14" t="n"/>
      <c r="U69" s="8" t="n"/>
      <c r="V69" s="8" t="n"/>
      <c r="W69" s="10" t="n"/>
      <c r="X69" s="10" t="n"/>
      <c r="Y69" s="10" t="n"/>
      <c r="Z69" s="10" t="n"/>
      <c r="AA69" s="6" t="inlineStr">
        <is>
          <t>UNSUPPORTED_PROFILE / requires exactly two shapes, one input, one producer and one output</t>
        </is>
      </c>
      <c r="AB69" s="14" t="inlineStr">
        <is>
          <t>yes</t>
        </is>
      </c>
    </row>
    <row r="70">
      <c r="A70" s="14" t="inlineStr">
        <is>
          <t>transpose</t>
        </is>
      </c>
      <c r="B70" s="14" t="inlineStr">
        <is>
          <t>layout</t>
        </is>
      </c>
      <c r="C70" s="14" t="inlineStr">
        <is>
          <t>s</t>
        </is>
      </c>
      <c r="D70" s="14" t="inlineStr">
        <is>
          <t>ramp</t>
        </is>
      </c>
      <c r="E70" s="14" t="inlineStr">
        <is>
          <t>16,16</t>
        </is>
      </c>
      <c r="F70" s="5" t="n">
        <v>256</v>
      </c>
      <c r="G70" s="15" t="n">
        <v>100</v>
      </c>
      <c r="H70" s="15" t="n">
        <v>255</v>
      </c>
      <c r="I70" s="17" t="n"/>
      <c r="J70" s="17" t="n"/>
      <c r="K70" s="17" t="n"/>
      <c r="L70" s="7">
        <f>IF(AND(ISNUMBER(I70),ISNUMBER(G70)),I70/G70,"")</f>
        <v/>
      </c>
      <c r="M70" s="7">
        <f>IF(AND(ISNUMBER(I70),ISNUMBER(H70)),I70/H70,"")</f>
        <v/>
      </c>
      <c r="N70" s="7">
        <f>IF(AND(ISNUMBER(H70),ISNUMBER(G70)),H70/G70,"")</f>
        <v/>
      </c>
      <c r="O70" s="9">
        <f>IF(AND(ISNUMBER(J70),ISNUMBER(G70)),J70/G70,"")</f>
        <v/>
      </c>
      <c r="P70" s="14">
        <f>IF(L70="","n/a",IF(L70&lt;0.95,"Lead",IF(L70&gt;1.05,"Lag","Parity")))</f>
        <v/>
      </c>
      <c r="Q70" s="14">
        <f>IF(M70="","n/a",IF(M70&lt;0.95,"Lead",IF(M70&gt;1.05,"Lag","Parity")))</f>
        <v/>
      </c>
      <c r="R70" s="14" t="inlineStr">
        <is>
          <t>unsupported</t>
        </is>
      </c>
      <c r="S70" s="14" t="inlineStr">
        <is>
          <t>unsupported</t>
        </is>
      </c>
      <c r="T70" s="14" t="n"/>
      <c r="U70" s="8" t="n"/>
      <c r="V70" s="8" t="n"/>
      <c r="W70" s="10" t="n"/>
      <c r="X70" s="10" t="n"/>
      <c r="Y70" s="10" t="n"/>
      <c r="Z70" s="10" t="n"/>
      <c r="AA70" s="6" t="inlineStr">
        <is>
          <t>UNSUPPORTED_PROFILE / requires exactly two shapes, one input, one producer and one output</t>
        </is>
      </c>
      <c r="AB70" s="14" t="inlineStr">
        <is>
          <t>yes</t>
        </is>
      </c>
    </row>
    <row r="71">
      <c r="A71" s="14" t="inlineStr">
        <is>
          <t>transpose</t>
        </is>
      </c>
      <c r="B71" s="14" t="inlineStr">
        <is>
          <t>layout</t>
        </is>
      </c>
      <c r="C71" s="14" t="inlineStr">
        <is>
          <t>m</t>
        </is>
      </c>
      <c r="D71" s="14" t="inlineStr">
        <is>
          <t>hash</t>
        </is>
      </c>
      <c r="E71" s="14" t="inlineStr">
        <is>
          <t>256,256</t>
        </is>
      </c>
      <c r="F71" s="5" t="n">
        <v>65536</v>
      </c>
      <c r="G71" s="15" t="n">
        <v>402275</v>
      </c>
      <c r="H71" s="15" t="n">
        <v>348050</v>
      </c>
      <c r="I71" s="17" t="n"/>
      <c r="J71" s="17" t="n"/>
      <c r="K71" s="17" t="n"/>
      <c r="L71" s="7">
        <f>IF(AND(ISNUMBER(I71),ISNUMBER(G71)),I71/G71,"")</f>
        <v/>
      </c>
      <c r="M71" s="7">
        <f>IF(AND(ISNUMBER(I71),ISNUMBER(H71)),I71/H71,"")</f>
        <v/>
      </c>
      <c r="N71" s="7">
        <f>IF(AND(ISNUMBER(H71),ISNUMBER(G71)),H71/G71,"")</f>
        <v/>
      </c>
      <c r="O71" s="9">
        <f>IF(AND(ISNUMBER(J71),ISNUMBER(G71)),J71/G71,"")</f>
        <v/>
      </c>
      <c r="P71" s="14">
        <f>IF(L71="","n/a",IF(L71&lt;0.95,"Lead",IF(L71&gt;1.05,"Lag","Parity")))</f>
        <v/>
      </c>
      <c r="Q71" s="14">
        <f>IF(M71="","n/a",IF(M71&lt;0.95,"Lead",IF(M71&gt;1.05,"Lag","Parity")))</f>
        <v/>
      </c>
      <c r="R71" s="14" t="inlineStr">
        <is>
          <t>unsupported</t>
        </is>
      </c>
      <c r="S71" s="14" t="inlineStr">
        <is>
          <t>unsupported</t>
        </is>
      </c>
      <c r="T71" s="14" t="n"/>
      <c r="U71" s="8" t="n"/>
      <c r="V71" s="8" t="n"/>
      <c r="W71" s="10" t="n"/>
      <c r="X71" s="10" t="n"/>
      <c r="Y71" s="10" t="n"/>
      <c r="Z71" s="10" t="n"/>
      <c r="AA71" s="6" t="inlineStr">
        <is>
          <t>UNSUPPORTED_PROFILE / requires exactly two shapes, one input, one producer and one output</t>
        </is>
      </c>
      <c r="AB71" s="14" t="inlineStr">
        <is>
          <t>yes</t>
        </is>
      </c>
    </row>
    <row r="72">
      <c r="A72" s="14" t="inlineStr">
        <is>
          <t>transpose</t>
        </is>
      </c>
      <c r="B72" s="14" t="inlineStr">
        <is>
          <t>layout</t>
        </is>
      </c>
      <c r="C72" s="14" t="inlineStr">
        <is>
          <t>m</t>
        </is>
      </c>
      <c r="D72" s="14" t="inlineStr">
        <is>
          <t>max</t>
        </is>
      </c>
      <c r="E72" s="14" t="inlineStr">
        <is>
          <t>256,256</t>
        </is>
      </c>
      <c r="F72" s="5" t="n">
        <v>65536</v>
      </c>
      <c r="G72" s="15" t="n">
        <v>395312</v>
      </c>
      <c r="H72" s="15" t="n">
        <v>343487</v>
      </c>
      <c r="I72" s="17" t="n"/>
      <c r="J72" s="17" t="n"/>
      <c r="K72" s="17" t="n"/>
      <c r="L72" s="7">
        <f>IF(AND(ISNUMBER(I72),ISNUMBER(G72)),I72/G72,"")</f>
        <v/>
      </c>
      <c r="M72" s="7">
        <f>IF(AND(ISNUMBER(I72),ISNUMBER(H72)),I72/H72,"")</f>
        <v/>
      </c>
      <c r="N72" s="7">
        <f>IF(AND(ISNUMBER(H72),ISNUMBER(G72)),H72/G72,"")</f>
        <v/>
      </c>
      <c r="O72" s="9">
        <f>IF(AND(ISNUMBER(J72),ISNUMBER(G72)),J72/G72,"")</f>
        <v/>
      </c>
      <c r="P72" s="14">
        <f>IF(L72="","n/a",IF(L72&lt;0.95,"Lead",IF(L72&gt;1.05,"Lag","Parity")))</f>
        <v/>
      </c>
      <c r="Q72" s="14">
        <f>IF(M72="","n/a",IF(M72&lt;0.95,"Lead",IF(M72&gt;1.05,"Lag","Parity")))</f>
        <v/>
      </c>
      <c r="R72" s="14" t="inlineStr">
        <is>
          <t>unsupported</t>
        </is>
      </c>
      <c r="S72" s="14" t="inlineStr">
        <is>
          <t>unsupported</t>
        </is>
      </c>
      <c r="T72" s="14" t="n"/>
      <c r="U72" s="8" t="n"/>
      <c r="V72" s="8" t="n"/>
      <c r="W72" s="10" t="n"/>
      <c r="X72" s="10" t="n"/>
      <c r="Y72" s="10" t="n"/>
      <c r="Z72" s="10" t="n"/>
      <c r="AA72" s="6" t="inlineStr">
        <is>
          <t>UNSUPPORTED_PROFILE / requires exactly two shapes, one input, one producer and one output</t>
        </is>
      </c>
      <c r="AB72" s="14" t="inlineStr">
        <is>
          <t>yes</t>
        </is>
      </c>
    </row>
    <row r="73">
      <c r="A73" s="14" t="inlineStr">
        <is>
          <t>transpose</t>
        </is>
      </c>
      <c r="B73" s="14" t="inlineStr">
        <is>
          <t>layout</t>
        </is>
      </c>
      <c r="C73" s="14" t="inlineStr">
        <is>
          <t>m</t>
        </is>
      </c>
      <c r="D73" s="14" t="inlineStr">
        <is>
          <t>ramp</t>
        </is>
      </c>
      <c r="E73" s="14" t="inlineStr">
        <is>
          <t>256,256</t>
        </is>
      </c>
      <c r="F73" s="5" t="n">
        <v>65536</v>
      </c>
      <c r="G73" s="15" t="n">
        <v>401225</v>
      </c>
      <c r="H73" s="15" t="n">
        <v>342500</v>
      </c>
      <c r="I73" s="17" t="n"/>
      <c r="J73" s="17" t="n"/>
      <c r="K73" s="17" t="n"/>
      <c r="L73" s="7">
        <f>IF(AND(ISNUMBER(I73),ISNUMBER(G73)),I73/G73,"")</f>
        <v/>
      </c>
      <c r="M73" s="7">
        <f>IF(AND(ISNUMBER(I73),ISNUMBER(H73)),I73/H73,"")</f>
        <v/>
      </c>
      <c r="N73" s="7">
        <f>IF(AND(ISNUMBER(H73),ISNUMBER(G73)),H73/G73,"")</f>
        <v/>
      </c>
      <c r="O73" s="9">
        <f>IF(AND(ISNUMBER(J73),ISNUMBER(G73)),J73/G73,"")</f>
        <v/>
      </c>
      <c r="P73" s="14">
        <f>IF(L73="","n/a",IF(L73&lt;0.95,"Lead",IF(L73&gt;1.05,"Lag","Parity")))</f>
        <v/>
      </c>
      <c r="Q73" s="14">
        <f>IF(M73="","n/a",IF(M73&lt;0.95,"Lead",IF(M73&gt;1.05,"Lag","Parity")))</f>
        <v/>
      </c>
      <c r="R73" s="14" t="inlineStr">
        <is>
          <t>unsupported</t>
        </is>
      </c>
      <c r="S73" s="14" t="inlineStr">
        <is>
          <t>unsupported</t>
        </is>
      </c>
      <c r="T73" s="14" t="n"/>
      <c r="U73" s="8" t="n"/>
      <c r="V73" s="8" t="n"/>
      <c r="W73" s="10" t="n"/>
      <c r="X73" s="10" t="n"/>
      <c r="Y73" s="10" t="n"/>
      <c r="Z73" s="10" t="n"/>
      <c r="AA73" s="6" t="inlineStr">
        <is>
          <t>UNSUPPORTED_PROFILE / requires exactly two shapes, one input, one producer and one output</t>
        </is>
      </c>
      <c r="AB73" s="14" t="inlineStr">
        <is>
          <t>yes</t>
        </is>
      </c>
    </row>
    <row r="74">
      <c r="A74" s="14" t="inlineStr">
        <is>
          <t>transpose</t>
        </is>
      </c>
      <c r="B74" s="14" t="inlineStr">
        <is>
          <t>layout</t>
        </is>
      </c>
      <c r="C74" s="14" t="inlineStr">
        <is>
          <t>l</t>
        </is>
      </c>
      <c r="D74" s="14" t="inlineStr">
        <is>
          <t>hash</t>
        </is>
      </c>
      <c r="E74" s="14" t="inlineStr">
        <is>
          <t>2048,2048</t>
        </is>
      </c>
      <c r="F74" s="5" t="n">
        <v>4194304</v>
      </c>
      <c r="G74" s="15" t="n">
        <v>31551500</v>
      </c>
      <c r="H74" s="15" t="n">
        <v>30996400</v>
      </c>
      <c r="I74" s="17" t="n"/>
      <c r="J74" s="17" t="n"/>
      <c r="K74" s="17" t="n"/>
      <c r="L74" s="7">
        <f>IF(AND(ISNUMBER(I74),ISNUMBER(G74)),I74/G74,"")</f>
        <v/>
      </c>
      <c r="M74" s="7">
        <f>IF(AND(ISNUMBER(I74),ISNUMBER(H74)),I74/H74,"")</f>
        <v/>
      </c>
      <c r="N74" s="7">
        <f>IF(AND(ISNUMBER(H74),ISNUMBER(G74)),H74/G74,"")</f>
        <v/>
      </c>
      <c r="O74" s="9">
        <f>IF(AND(ISNUMBER(J74),ISNUMBER(G74)),J74/G74,"")</f>
        <v/>
      </c>
      <c r="P74" s="14">
        <f>IF(L74="","n/a",IF(L74&lt;0.95,"Lead",IF(L74&gt;1.05,"Lag","Parity")))</f>
        <v/>
      </c>
      <c r="Q74" s="14">
        <f>IF(M74="","n/a",IF(M74&lt;0.95,"Lead",IF(M74&gt;1.05,"Lag","Parity")))</f>
        <v/>
      </c>
      <c r="R74" s="14" t="inlineStr">
        <is>
          <t>unsupported</t>
        </is>
      </c>
      <c r="S74" s="14" t="inlineStr">
        <is>
          <t>unsupported</t>
        </is>
      </c>
      <c r="T74" s="14" t="n"/>
      <c r="U74" s="8" t="n"/>
      <c r="V74" s="8" t="n"/>
      <c r="W74" s="10" t="n"/>
      <c r="X74" s="10" t="n"/>
      <c r="Y74" s="10" t="n"/>
      <c r="Z74" s="10" t="n"/>
      <c r="AA74" s="6" t="inlineStr">
        <is>
          <t>UNSUPPORTED_PROFILE / requires exactly two shapes, one input, one producer and one output</t>
        </is>
      </c>
      <c r="AB74" s="14" t="inlineStr">
        <is>
          <t>yes</t>
        </is>
      </c>
    </row>
    <row r="75">
      <c r="A75" s="14" t="inlineStr">
        <is>
          <t>transpose</t>
        </is>
      </c>
      <c r="B75" s="14" t="inlineStr">
        <is>
          <t>layout</t>
        </is>
      </c>
      <c r="C75" s="14" t="inlineStr">
        <is>
          <t>l</t>
        </is>
      </c>
      <c r="D75" s="14" t="inlineStr">
        <is>
          <t>max</t>
        </is>
      </c>
      <c r="E75" s="14" t="inlineStr">
        <is>
          <t>2048,2048</t>
        </is>
      </c>
      <c r="F75" s="5" t="n">
        <v>4194304</v>
      </c>
      <c r="G75" s="15" t="n">
        <v>32779700</v>
      </c>
      <c r="H75" s="15" t="n">
        <v>30978900</v>
      </c>
      <c r="I75" s="17" t="n"/>
      <c r="J75" s="17" t="n"/>
      <c r="K75" s="17" t="n"/>
      <c r="L75" s="7">
        <f>IF(AND(ISNUMBER(I75),ISNUMBER(G75)),I75/G75,"")</f>
        <v/>
      </c>
      <c r="M75" s="7">
        <f>IF(AND(ISNUMBER(I75),ISNUMBER(H75)),I75/H75,"")</f>
        <v/>
      </c>
      <c r="N75" s="7">
        <f>IF(AND(ISNUMBER(H75),ISNUMBER(G75)),H75/G75,"")</f>
        <v/>
      </c>
      <c r="O75" s="9">
        <f>IF(AND(ISNUMBER(J75),ISNUMBER(G75)),J75/G75,"")</f>
        <v/>
      </c>
      <c r="P75" s="14">
        <f>IF(L75="","n/a",IF(L75&lt;0.95,"Lead",IF(L75&gt;1.05,"Lag","Parity")))</f>
        <v/>
      </c>
      <c r="Q75" s="14">
        <f>IF(M75="","n/a",IF(M75&lt;0.95,"Lead",IF(M75&gt;1.05,"Lag","Parity")))</f>
        <v/>
      </c>
      <c r="R75" s="14" t="inlineStr">
        <is>
          <t>unsupported</t>
        </is>
      </c>
      <c r="S75" s="14" t="inlineStr">
        <is>
          <t>unsupported</t>
        </is>
      </c>
      <c r="T75" s="14" t="n"/>
      <c r="U75" s="8" t="n"/>
      <c r="V75" s="8" t="n"/>
      <c r="W75" s="10" t="n"/>
      <c r="X75" s="10" t="n"/>
      <c r="Y75" s="10" t="n"/>
      <c r="Z75" s="10" t="n"/>
      <c r="AA75" s="6" t="inlineStr">
        <is>
          <t>UNSUPPORTED_PROFILE / requires exactly two shapes, one input, one producer and one output</t>
        </is>
      </c>
      <c r="AB75" s="14" t="inlineStr">
        <is>
          <t>yes</t>
        </is>
      </c>
    </row>
    <row r="76">
      <c r="A76" s="14" t="inlineStr">
        <is>
          <t>transpose</t>
        </is>
      </c>
      <c r="B76" s="14" t="inlineStr">
        <is>
          <t>layout</t>
        </is>
      </c>
      <c r="C76" s="14" t="inlineStr">
        <is>
          <t>l</t>
        </is>
      </c>
      <c r="D76" s="14" t="inlineStr">
        <is>
          <t>ramp</t>
        </is>
      </c>
      <c r="E76" s="14" t="inlineStr">
        <is>
          <t>2048,2048</t>
        </is>
      </c>
      <c r="F76" s="5" t="n">
        <v>4194304</v>
      </c>
      <c r="G76" s="15" t="n">
        <v>32606700</v>
      </c>
      <c r="H76" s="15" t="n">
        <v>30421100</v>
      </c>
      <c r="I76" s="17" t="n"/>
      <c r="J76" s="17" t="n"/>
      <c r="K76" s="17" t="n"/>
      <c r="L76" s="7">
        <f>IF(AND(ISNUMBER(I76),ISNUMBER(G76)),I76/G76,"")</f>
        <v/>
      </c>
      <c r="M76" s="7">
        <f>IF(AND(ISNUMBER(I76),ISNUMBER(H76)),I76/H76,"")</f>
        <v/>
      </c>
      <c r="N76" s="7">
        <f>IF(AND(ISNUMBER(H76),ISNUMBER(G76)),H76/G76,"")</f>
        <v/>
      </c>
      <c r="O76" s="9">
        <f>IF(AND(ISNUMBER(J76),ISNUMBER(G76)),J76/G76,"")</f>
        <v/>
      </c>
      <c r="P76" s="14">
        <f>IF(L76="","n/a",IF(L76&lt;0.95,"Lead",IF(L76&gt;1.05,"Lag","Parity")))</f>
        <v/>
      </c>
      <c r="Q76" s="14">
        <f>IF(M76="","n/a",IF(M76&lt;0.95,"Lead",IF(M76&gt;1.05,"Lag","Parity")))</f>
        <v/>
      </c>
      <c r="R76" s="14" t="inlineStr">
        <is>
          <t>unsupported</t>
        </is>
      </c>
      <c r="S76" s="14" t="inlineStr">
        <is>
          <t>unsupported</t>
        </is>
      </c>
      <c r="T76" s="14" t="n"/>
      <c r="U76" s="8" t="n"/>
      <c r="V76" s="8" t="n"/>
      <c r="W76" s="10" t="n"/>
      <c r="X76" s="10" t="n"/>
      <c r="Y76" s="10" t="n"/>
      <c r="Z76" s="10" t="n"/>
      <c r="AA76" s="6" t="inlineStr">
        <is>
          <t>UNSUPPORTED_PROFILE / requires exactly two shapes, one input, one producer and one output</t>
        </is>
      </c>
      <c r="AB76" s="14" t="inlineStr">
        <is>
          <t>yes</t>
        </is>
      </c>
    </row>
    <row r="77">
      <c r="A77" s="14" t="inlineStr">
        <is>
          <t>maxpool2</t>
        </is>
      </c>
      <c r="B77" s="14" t="inlineStr">
        <is>
          <t>stencil-2d-cond</t>
        </is>
      </c>
      <c r="C77" s="14" t="inlineStr">
        <is>
          <t>s</t>
        </is>
      </c>
      <c r="D77" s="14" t="inlineStr">
        <is>
          <t>hash</t>
        </is>
      </c>
      <c r="E77" s="14" t="inlineStr">
        <is>
          <t>8,8</t>
        </is>
      </c>
      <c r="F77" s="5" t="n">
        <v>64</v>
      </c>
      <c r="G77" s="15" t="n">
        <v>67</v>
      </c>
      <c r="H77" s="15" t="n">
        <v>171</v>
      </c>
      <c r="I77" s="17" t="n"/>
      <c r="J77" s="17" t="n"/>
      <c r="K77" s="17" t="n"/>
      <c r="L77" s="7">
        <f>IF(AND(ISNUMBER(I77),ISNUMBER(G77)),I77/G77,"")</f>
        <v/>
      </c>
      <c r="M77" s="7">
        <f>IF(AND(ISNUMBER(I77),ISNUMBER(H77)),I77/H77,"")</f>
        <v/>
      </c>
      <c r="N77" s="7">
        <f>IF(AND(ISNUMBER(H77),ISNUMBER(G77)),H77/G77,"")</f>
        <v/>
      </c>
      <c r="O77" s="9">
        <f>IF(AND(ISNUMBER(J77),ISNUMBER(G77)),J77/G77,"")</f>
        <v/>
      </c>
      <c r="P77" s="14">
        <f>IF(L77="","n/a",IF(L77&lt;0.95,"Lead",IF(L77&gt;1.05,"Lag","Parity")))</f>
        <v/>
      </c>
      <c r="Q77" s="14">
        <f>IF(M77="","n/a",IF(M77&lt;0.95,"Lead",IF(M77&gt;1.05,"Lag","Parity")))</f>
        <v/>
      </c>
      <c r="R77" s="14" t="inlineStr">
        <is>
          <t>unsupported</t>
        </is>
      </c>
      <c r="S77" s="14" t="inlineStr">
        <is>
          <t>unsupported</t>
        </is>
      </c>
      <c r="T77" s="14" t="n"/>
      <c r="U77" s="8" t="n"/>
      <c r="V77" s="8" t="n"/>
      <c r="W77" s="10" t="n"/>
      <c r="X77" s="10" t="n"/>
      <c r="Y77" s="10" t="n"/>
      <c r="Z77" s="10" t="n"/>
      <c r="AA77" s="6" t="inlineStr">
        <is>
          <t>NOT_EXPRESSIBLE / max operator, strided index (2*r)</t>
        </is>
      </c>
      <c r="AB77" s="14" t="inlineStr">
        <is>
          <t>yes</t>
        </is>
      </c>
    </row>
    <row r="78">
      <c r="A78" s="14" t="inlineStr">
        <is>
          <t>maxpool2</t>
        </is>
      </c>
      <c r="B78" s="14" t="inlineStr">
        <is>
          <t>stencil-2d-cond</t>
        </is>
      </c>
      <c r="C78" s="14" t="inlineStr">
        <is>
          <t>s</t>
        </is>
      </c>
      <c r="D78" s="14" t="inlineStr">
        <is>
          <t>max</t>
        </is>
      </c>
      <c r="E78" s="14" t="inlineStr">
        <is>
          <t>8,8</t>
        </is>
      </c>
      <c r="F78" s="5" t="n">
        <v>64</v>
      </c>
      <c r="G78" s="15" t="n">
        <v>67</v>
      </c>
      <c r="H78" s="15" t="n">
        <v>164</v>
      </c>
      <c r="I78" s="17" t="n"/>
      <c r="J78" s="17" t="n"/>
      <c r="K78" s="17" t="n"/>
      <c r="L78" s="7">
        <f>IF(AND(ISNUMBER(I78),ISNUMBER(G78)),I78/G78,"")</f>
        <v/>
      </c>
      <c r="M78" s="7">
        <f>IF(AND(ISNUMBER(I78),ISNUMBER(H78)),I78/H78,"")</f>
        <v/>
      </c>
      <c r="N78" s="7">
        <f>IF(AND(ISNUMBER(H78),ISNUMBER(G78)),H78/G78,"")</f>
        <v/>
      </c>
      <c r="O78" s="9">
        <f>IF(AND(ISNUMBER(J78),ISNUMBER(G78)),J78/G78,"")</f>
        <v/>
      </c>
      <c r="P78" s="14">
        <f>IF(L78="","n/a",IF(L78&lt;0.95,"Lead",IF(L78&gt;1.05,"Lag","Parity")))</f>
        <v/>
      </c>
      <c r="Q78" s="14">
        <f>IF(M78="","n/a",IF(M78&lt;0.95,"Lead",IF(M78&gt;1.05,"Lag","Parity")))</f>
        <v/>
      </c>
      <c r="R78" s="14" t="inlineStr">
        <is>
          <t>unsupported</t>
        </is>
      </c>
      <c r="S78" s="14" t="inlineStr">
        <is>
          <t>unsupported</t>
        </is>
      </c>
      <c r="T78" s="14" t="n"/>
      <c r="U78" s="8" t="n"/>
      <c r="V78" s="8" t="n"/>
      <c r="W78" s="10" t="n"/>
      <c r="X78" s="10" t="n"/>
      <c r="Y78" s="10" t="n"/>
      <c r="Z78" s="10" t="n"/>
      <c r="AA78" s="6" t="inlineStr">
        <is>
          <t>NOT_EXPRESSIBLE / max operator, strided index (2*r)</t>
        </is>
      </c>
      <c r="AB78" s="14" t="inlineStr">
        <is>
          <t>yes</t>
        </is>
      </c>
    </row>
    <row r="79">
      <c r="A79" s="14" t="inlineStr">
        <is>
          <t>maxpool2</t>
        </is>
      </c>
      <c r="B79" s="14" t="inlineStr">
        <is>
          <t>stencil-2d-cond</t>
        </is>
      </c>
      <c r="C79" s="14" t="inlineStr">
        <is>
          <t>s</t>
        </is>
      </c>
      <c r="D79" s="14" t="inlineStr">
        <is>
          <t>ramp</t>
        </is>
      </c>
      <c r="E79" s="14" t="inlineStr">
        <is>
          <t>8,8</t>
        </is>
      </c>
      <c r="F79" s="5" t="n">
        <v>64</v>
      </c>
      <c r="G79" s="15" t="n">
        <v>67</v>
      </c>
      <c r="H79" s="15" t="n">
        <v>168</v>
      </c>
      <c r="I79" s="17" t="n"/>
      <c r="J79" s="17" t="n"/>
      <c r="K79" s="17" t="n"/>
      <c r="L79" s="7">
        <f>IF(AND(ISNUMBER(I79),ISNUMBER(G79)),I79/G79,"")</f>
        <v/>
      </c>
      <c r="M79" s="7">
        <f>IF(AND(ISNUMBER(I79),ISNUMBER(H79)),I79/H79,"")</f>
        <v/>
      </c>
      <c r="N79" s="7">
        <f>IF(AND(ISNUMBER(H79),ISNUMBER(G79)),H79/G79,"")</f>
        <v/>
      </c>
      <c r="O79" s="9">
        <f>IF(AND(ISNUMBER(J79),ISNUMBER(G79)),J79/G79,"")</f>
        <v/>
      </c>
      <c r="P79" s="14">
        <f>IF(L79="","n/a",IF(L79&lt;0.95,"Lead",IF(L79&gt;1.05,"Lag","Parity")))</f>
        <v/>
      </c>
      <c r="Q79" s="14">
        <f>IF(M79="","n/a",IF(M79&lt;0.95,"Lead",IF(M79&gt;1.05,"Lag","Parity")))</f>
        <v/>
      </c>
      <c r="R79" s="14" t="inlineStr">
        <is>
          <t>unsupported</t>
        </is>
      </c>
      <c r="S79" s="14" t="inlineStr">
        <is>
          <t>unsupported</t>
        </is>
      </c>
      <c r="T79" s="14" t="n"/>
      <c r="U79" s="8" t="n"/>
      <c r="V79" s="8" t="n"/>
      <c r="W79" s="10" t="n"/>
      <c r="X79" s="10" t="n"/>
      <c r="Y79" s="10" t="n"/>
      <c r="Z79" s="10" t="n"/>
      <c r="AA79" s="6" t="inlineStr">
        <is>
          <t>NOT_EXPRESSIBLE / max operator, strided index (2*r)</t>
        </is>
      </c>
      <c r="AB79" s="14" t="inlineStr">
        <is>
          <t>yes</t>
        </is>
      </c>
    </row>
    <row r="80">
      <c r="A80" s="14" t="inlineStr">
        <is>
          <t>maxpool2</t>
        </is>
      </c>
      <c r="B80" s="14" t="inlineStr">
        <is>
          <t>stencil-2d-cond</t>
        </is>
      </c>
      <c r="C80" s="14" t="inlineStr">
        <is>
          <t>m</t>
        </is>
      </c>
      <c r="D80" s="14" t="inlineStr">
        <is>
          <t>hash</t>
        </is>
      </c>
      <c r="E80" s="14" t="inlineStr">
        <is>
          <t>128,128</t>
        </is>
      </c>
      <c r="F80" s="5" t="n">
        <v>16384</v>
      </c>
      <c r="G80" s="15" t="n">
        <v>15017</v>
      </c>
      <c r="H80" s="15" t="n">
        <v>17487</v>
      </c>
      <c r="I80" s="17" t="n"/>
      <c r="J80" s="17" t="n"/>
      <c r="K80" s="17" t="n"/>
      <c r="L80" s="7">
        <f>IF(AND(ISNUMBER(I80),ISNUMBER(G80)),I80/G80,"")</f>
        <v/>
      </c>
      <c r="M80" s="7">
        <f>IF(AND(ISNUMBER(I80),ISNUMBER(H80)),I80/H80,"")</f>
        <v/>
      </c>
      <c r="N80" s="7">
        <f>IF(AND(ISNUMBER(H80),ISNUMBER(G80)),H80/G80,"")</f>
        <v/>
      </c>
      <c r="O80" s="9">
        <f>IF(AND(ISNUMBER(J80),ISNUMBER(G80)),J80/G80,"")</f>
        <v/>
      </c>
      <c r="P80" s="14">
        <f>IF(L80="","n/a",IF(L80&lt;0.95,"Lead",IF(L80&gt;1.05,"Lag","Parity")))</f>
        <v/>
      </c>
      <c r="Q80" s="14">
        <f>IF(M80="","n/a",IF(M80&lt;0.95,"Lead",IF(M80&gt;1.05,"Lag","Parity")))</f>
        <v/>
      </c>
      <c r="R80" s="14" t="inlineStr">
        <is>
          <t>unsupported</t>
        </is>
      </c>
      <c r="S80" s="14" t="inlineStr">
        <is>
          <t>unsupported</t>
        </is>
      </c>
      <c r="T80" s="14" t="n"/>
      <c r="U80" s="8" t="n"/>
      <c r="V80" s="8" t="n"/>
      <c r="W80" s="10" t="n"/>
      <c r="X80" s="10" t="n"/>
      <c r="Y80" s="10" t="n"/>
      <c r="Z80" s="10" t="n"/>
      <c r="AA80" s="6" t="inlineStr">
        <is>
          <t>NOT_EXPRESSIBLE / max operator, strided index (2*r)</t>
        </is>
      </c>
      <c r="AB80" s="14" t="inlineStr">
        <is>
          <t>yes</t>
        </is>
      </c>
    </row>
    <row r="81">
      <c r="A81" s="14" t="inlineStr">
        <is>
          <t>maxpool2</t>
        </is>
      </c>
      <c r="B81" s="14" t="inlineStr">
        <is>
          <t>stencil-2d-cond</t>
        </is>
      </c>
      <c r="C81" s="14" t="inlineStr">
        <is>
          <t>m</t>
        </is>
      </c>
      <c r="D81" s="14" t="inlineStr">
        <is>
          <t>max</t>
        </is>
      </c>
      <c r="E81" s="14" t="inlineStr">
        <is>
          <t>128,128</t>
        </is>
      </c>
      <c r="F81" s="5" t="n">
        <v>16384</v>
      </c>
      <c r="G81" s="15" t="n">
        <v>15011</v>
      </c>
      <c r="H81" s="15" t="n">
        <v>17402</v>
      </c>
      <c r="I81" s="17" t="n"/>
      <c r="J81" s="17" t="n"/>
      <c r="K81" s="17" t="n"/>
      <c r="L81" s="7">
        <f>IF(AND(ISNUMBER(I81),ISNUMBER(G81)),I81/G81,"")</f>
        <v/>
      </c>
      <c r="M81" s="7">
        <f>IF(AND(ISNUMBER(I81),ISNUMBER(H81)),I81/H81,"")</f>
        <v/>
      </c>
      <c r="N81" s="7">
        <f>IF(AND(ISNUMBER(H81),ISNUMBER(G81)),H81/G81,"")</f>
        <v/>
      </c>
      <c r="O81" s="9">
        <f>IF(AND(ISNUMBER(J81),ISNUMBER(G81)),J81/G81,"")</f>
        <v/>
      </c>
      <c r="P81" s="14">
        <f>IF(L81="","n/a",IF(L81&lt;0.95,"Lead",IF(L81&gt;1.05,"Lag","Parity")))</f>
        <v/>
      </c>
      <c r="Q81" s="14">
        <f>IF(M81="","n/a",IF(M81&lt;0.95,"Lead",IF(M81&gt;1.05,"Lag","Parity")))</f>
        <v/>
      </c>
      <c r="R81" s="14" t="inlineStr">
        <is>
          <t>unsupported</t>
        </is>
      </c>
      <c r="S81" s="14" t="inlineStr">
        <is>
          <t>unsupported</t>
        </is>
      </c>
      <c r="T81" s="14" t="n"/>
      <c r="U81" s="8" t="n"/>
      <c r="V81" s="8" t="n"/>
      <c r="W81" s="10" t="n"/>
      <c r="X81" s="10" t="n"/>
      <c r="Y81" s="10" t="n"/>
      <c r="Z81" s="10" t="n"/>
      <c r="AA81" s="6" t="inlineStr">
        <is>
          <t>NOT_EXPRESSIBLE / max operator, strided index (2*r)</t>
        </is>
      </c>
      <c r="AB81" s="14" t="inlineStr">
        <is>
          <t>yes</t>
        </is>
      </c>
    </row>
    <row r="82">
      <c r="A82" s="14" t="inlineStr">
        <is>
          <t>maxpool2</t>
        </is>
      </c>
      <c r="B82" s="14" t="inlineStr">
        <is>
          <t>stencil-2d-cond</t>
        </is>
      </c>
      <c r="C82" s="14" t="inlineStr">
        <is>
          <t>m</t>
        </is>
      </c>
      <c r="D82" s="14" t="inlineStr">
        <is>
          <t>ramp</t>
        </is>
      </c>
      <c r="E82" s="14" t="inlineStr">
        <is>
          <t>128,128</t>
        </is>
      </c>
      <c r="F82" s="5" t="n">
        <v>16384</v>
      </c>
      <c r="G82" s="15" t="n">
        <v>15036</v>
      </c>
      <c r="H82" s="15" t="n">
        <v>17590</v>
      </c>
      <c r="I82" s="17" t="n"/>
      <c r="J82" s="17" t="n"/>
      <c r="K82" s="17" t="n"/>
      <c r="L82" s="7">
        <f>IF(AND(ISNUMBER(I82),ISNUMBER(G82)),I82/G82,"")</f>
        <v/>
      </c>
      <c r="M82" s="7">
        <f>IF(AND(ISNUMBER(I82),ISNUMBER(H82)),I82/H82,"")</f>
        <v/>
      </c>
      <c r="N82" s="7">
        <f>IF(AND(ISNUMBER(H82),ISNUMBER(G82)),H82/G82,"")</f>
        <v/>
      </c>
      <c r="O82" s="9">
        <f>IF(AND(ISNUMBER(J82),ISNUMBER(G82)),J82/G82,"")</f>
        <v/>
      </c>
      <c r="P82" s="14">
        <f>IF(L82="","n/a",IF(L82&lt;0.95,"Lead",IF(L82&gt;1.05,"Lag","Parity")))</f>
        <v/>
      </c>
      <c r="Q82" s="14">
        <f>IF(M82="","n/a",IF(M82&lt;0.95,"Lead",IF(M82&gt;1.05,"Lag","Parity")))</f>
        <v/>
      </c>
      <c r="R82" s="14" t="inlineStr">
        <is>
          <t>unsupported</t>
        </is>
      </c>
      <c r="S82" s="14" t="inlineStr">
        <is>
          <t>unsupported</t>
        </is>
      </c>
      <c r="T82" s="14" t="n"/>
      <c r="U82" s="8" t="n"/>
      <c r="V82" s="8" t="n"/>
      <c r="W82" s="10" t="n"/>
      <c r="X82" s="10" t="n"/>
      <c r="Y82" s="10" t="n"/>
      <c r="Z82" s="10" t="n"/>
      <c r="AA82" s="6" t="inlineStr">
        <is>
          <t>NOT_EXPRESSIBLE / max operator, strided index (2*r)</t>
        </is>
      </c>
      <c r="AB82" s="14" t="inlineStr">
        <is>
          <t>yes</t>
        </is>
      </c>
    </row>
    <row r="83">
      <c r="A83" s="14" t="inlineStr">
        <is>
          <t>maxpool2</t>
        </is>
      </c>
      <c r="B83" s="14" t="inlineStr">
        <is>
          <t>stencil-2d-cond</t>
        </is>
      </c>
      <c r="C83" s="14" t="inlineStr">
        <is>
          <t>l</t>
        </is>
      </c>
      <c r="D83" s="14" t="inlineStr">
        <is>
          <t>hash</t>
        </is>
      </c>
      <c r="E83" s="14" t="inlineStr">
        <is>
          <t>1024,1024</t>
        </is>
      </c>
      <c r="F83" s="5" t="n">
        <v>1048576</v>
      </c>
      <c r="G83" s="15" t="n">
        <v>1645700</v>
      </c>
      <c r="H83" s="15" t="n">
        <v>1609700</v>
      </c>
      <c r="I83" s="17" t="n"/>
      <c r="J83" s="17" t="n"/>
      <c r="K83" s="17" t="n"/>
      <c r="L83" s="7">
        <f>IF(AND(ISNUMBER(I83),ISNUMBER(G83)),I83/G83,"")</f>
        <v/>
      </c>
      <c r="M83" s="7">
        <f>IF(AND(ISNUMBER(I83),ISNUMBER(H83)),I83/H83,"")</f>
        <v/>
      </c>
      <c r="N83" s="7">
        <f>IF(AND(ISNUMBER(H83),ISNUMBER(G83)),H83/G83,"")</f>
        <v/>
      </c>
      <c r="O83" s="9">
        <f>IF(AND(ISNUMBER(J83),ISNUMBER(G83)),J83/G83,"")</f>
        <v/>
      </c>
      <c r="P83" s="14">
        <f>IF(L83="","n/a",IF(L83&lt;0.95,"Lead",IF(L83&gt;1.05,"Lag","Parity")))</f>
        <v/>
      </c>
      <c r="Q83" s="14">
        <f>IF(M83="","n/a",IF(M83&lt;0.95,"Lead",IF(M83&gt;1.05,"Lag","Parity")))</f>
        <v/>
      </c>
      <c r="R83" s="14" t="inlineStr">
        <is>
          <t>unsupported</t>
        </is>
      </c>
      <c r="S83" s="14" t="inlineStr">
        <is>
          <t>unsupported</t>
        </is>
      </c>
      <c r="T83" s="14" t="n"/>
      <c r="U83" s="8" t="n"/>
      <c r="V83" s="8" t="n"/>
      <c r="W83" s="10" t="n"/>
      <c r="X83" s="10" t="n"/>
      <c r="Y83" s="10" t="n"/>
      <c r="Z83" s="10" t="n"/>
      <c r="AA83" s="6" t="inlineStr">
        <is>
          <t>NOT_EXPRESSIBLE / max operator, strided index (2*r)</t>
        </is>
      </c>
      <c r="AB83" s="14" t="inlineStr">
        <is>
          <t>yes</t>
        </is>
      </c>
    </row>
    <row r="84">
      <c r="A84" s="14" t="inlineStr">
        <is>
          <t>maxpool2</t>
        </is>
      </c>
      <c r="B84" s="14" t="inlineStr">
        <is>
          <t>stencil-2d-cond</t>
        </is>
      </c>
      <c r="C84" s="14" t="inlineStr">
        <is>
          <t>l</t>
        </is>
      </c>
      <c r="D84" s="14" t="inlineStr">
        <is>
          <t>max</t>
        </is>
      </c>
      <c r="E84" s="14" t="inlineStr">
        <is>
          <t>1024,1024</t>
        </is>
      </c>
      <c r="F84" s="5" t="n">
        <v>1048576</v>
      </c>
      <c r="G84" s="15" t="n">
        <v>1934300</v>
      </c>
      <c r="H84" s="15" t="n">
        <v>1853600</v>
      </c>
      <c r="I84" s="17" t="n"/>
      <c r="J84" s="17" t="n"/>
      <c r="K84" s="17" t="n"/>
      <c r="L84" s="7">
        <f>IF(AND(ISNUMBER(I84),ISNUMBER(G84)),I84/G84,"")</f>
        <v/>
      </c>
      <c r="M84" s="7">
        <f>IF(AND(ISNUMBER(I84),ISNUMBER(H84)),I84/H84,"")</f>
        <v/>
      </c>
      <c r="N84" s="7">
        <f>IF(AND(ISNUMBER(H84),ISNUMBER(G84)),H84/G84,"")</f>
        <v/>
      </c>
      <c r="O84" s="9">
        <f>IF(AND(ISNUMBER(J84),ISNUMBER(G84)),J84/G84,"")</f>
        <v/>
      </c>
      <c r="P84" s="14">
        <f>IF(L84="","n/a",IF(L84&lt;0.95,"Lead",IF(L84&gt;1.05,"Lag","Parity")))</f>
        <v/>
      </c>
      <c r="Q84" s="14">
        <f>IF(M84="","n/a",IF(M84&lt;0.95,"Lead",IF(M84&gt;1.05,"Lag","Parity")))</f>
        <v/>
      </c>
      <c r="R84" s="14" t="inlineStr">
        <is>
          <t>unsupported</t>
        </is>
      </c>
      <c r="S84" s="14" t="inlineStr">
        <is>
          <t>unsupported</t>
        </is>
      </c>
      <c r="T84" s="14" t="n"/>
      <c r="U84" s="8" t="n"/>
      <c r="V84" s="8" t="n"/>
      <c r="W84" s="10" t="n"/>
      <c r="X84" s="10" t="n"/>
      <c r="Y84" s="10" t="n"/>
      <c r="Z84" s="10" t="n"/>
      <c r="AA84" s="6" t="inlineStr">
        <is>
          <t>NOT_EXPRESSIBLE / max operator, strided index (2*r)</t>
        </is>
      </c>
      <c r="AB84" s="14" t="inlineStr">
        <is>
          <t>yes</t>
        </is>
      </c>
    </row>
    <row r="85">
      <c r="A85" s="14" t="inlineStr">
        <is>
          <t>maxpool2</t>
        </is>
      </c>
      <c r="B85" s="14" t="inlineStr">
        <is>
          <t>stencil-2d-cond</t>
        </is>
      </c>
      <c r="C85" s="14" t="inlineStr">
        <is>
          <t>l</t>
        </is>
      </c>
      <c r="D85" s="14" t="inlineStr">
        <is>
          <t>ramp</t>
        </is>
      </c>
      <c r="E85" s="14" t="inlineStr">
        <is>
          <t>1024,1024</t>
        </is>
      </c>
      <c r="F85" s="5" t="n">
        <v>1048576</v>
      </c>
      <c r="G85" s="15" t="n">
        <v>1756750</v>
      </c>
      <c r="H85" s="15" t="n">
        <v>1577000</v>
      </c>
      <c r="I85" s="17" t="n"/>
      <c r="J85" s="17" t="n"/>
      <c r="K85" s="17" t="n"/>
      <c r="L85" s="7">
        <f>IF(AND(ISNUMBER(I85),ISNUMBER(G85)),I85/G85,"")</f>
        <v/>
      </c>
      <c r="M85" s="7">
        <f>IF(AND(ISNUMBER(I85),ISNUMBER(H85)),I85/H85,"")</f>
        <v/>
      </c>
      <c r="N85" s="7">
        <f>IF(AND(ISNUMBER(H85),ISNUMBER(G85)),H85/G85,"")</f>
        <v/>
      </c>
      <c r="O85" s="9">
        <f>IF(AND(ISNUMBER(J85),ISNUMBER(G85)),J85/G85,"")</f>
        <v/>
      </c>
      <c r="P85" s="14">
        <f>IF(L85="","n/a",IF(L85&lt;0.95,"Lead",IF(L85&gt;1.05,"Lag","Parity")))</f>
        <v/>
      </c>
      <c r="Q85" s="14">
        <f>IF(M85="","n/a",IF(M85&lt;0.95,"Lead",IF(M85&gt;1.05,"Lag","Parity")))</f>
        <v/>
      </c>
      <c r="R85" s="14" t="inlineStr">
        <is>
          <t>unsupported</t>
        </is>
      </c>
      <c r="S85" s="14" t="inlineStr">
        <is>
          <t>unsupported</t>
        </is>
      </c>
      <c r="T85" s="14" t="n"/>
      <c r="U85" s="8" t="n"/>
      <c r="V85" s="8" t="n"/>
      <c r="W85" s="10" t="n"/>
      <c r="X85" s="10" t="n"/>
      <c r="Y85" s="10" t="n"/>
      <c r="Z85" s="10" t="n"/>
      <c r="AA85" s="6" t="inlineStr">
        <is>
          <t>NOT_EXPRESSIBLE / max operator, strided index (2*r)</t>
        </is>
      </c>
      <c r="AB85" s="14" t="inlineStr">
        <is>
          <t>yes</t>
        </is>
      </c>
    </row>
    <row r="86">
      <c r="A86" s="14" t="inlineStr">
        <is>
          <t>sum</t>
        </is>
      </c>
      <c r="B86" s="14" t="inlineStr">
        <is>
          <t>reduction</t>
        </is>
      </c>
      <c r="C86" s="14" t="inlineStr">
        <is>
          <t>s</t>
        </is>
      </c>
      <c r="D86" s="14" t="inlineStr">
        <is>
          <t>hash</t>
        </is>
      </c>
      <c r="E86" s="14" t="inlineStr">
        <is>
          <t>256,0</t>
        </is>
      </c>
      <c r="F86" s="5" t="n">
        <v>1</v>
      </c>
      <c r="G86" s="15" t="n">
        <v>62</v>
      </c>
      <c r="H86" s="15" t="n">
        <v>61</v>
      </c>
      <c r="I86" s="17" t="n"/>
      <c r="J86" s="17" t="n"/>
      <c r="K86" s="17" t="n"/>
      <c r="L86" s="7">
        <f>IF(AND(ISNUMBER(I86),ISNUMBER(G86)),I86/G86,"")</f>
        <v/>
      </c>
      <c r="M86" s="7">
        <f>IF(AND(ISNUMBER(I86),ISNUMBER(H86)),I86/H86,"")</f>
        <v/>
      </c>
      <c r="N86" s="7">
        <f>IF(AND(ISNUMBER(H86),ISNUMBER(G86)),H86/G86,"")</f>
        <v/>
      </c>
      <c r="O86" s="9">
        <f>IF(AND(ISNUMBER(J86),ISNUMBER(G86)),J86/G86,"")</f>
        <v/>
      </c>
      <c r="P86" s="14">
        <f>IF(L86="","n/a",IF(L86&lt;0.95,"Lead",IF(L86&gt;1.05,"Lag","Parity")))</f>
        <v/>
      </c>
      <c r="Q86" s="14">
        <f>IF(M86="","n/a",IF(M86&lt;0.95,"Lead",IF(M86&gt;1.05,"Lag","Parity")))</f>
        <v/>
      </c>
      <c r="R86" s="14" t="inlineStr">
        <is>
          <t>unsupported</t>
        </is>
      </c>
      <c r="S86" s="14" t="inlineStr">
        <is>
          <t>unsupported</t>
        </is>
      </c>
      <c r="T86" s="14" t="n"/>
      <c r="U86" s="8" t="n"/>
      <c r="V86" s="8" t="n"/>
      <c r="W86" s="10" t="n"/>
      <c r="X86" s="10" t="n"/>
      <c r="Y86" s="10" t="n"/>
      <c r="Z86" s="10" t="n"/>
      <c r="AA86" s="6" t="inlineStr">
        <is>
          <t>NOT_EXPRESSIBLE / reduction syntax, i64 accumulators</t>
        </is>
      </c>
      <c r="AB86" s="14" t="inlineStr">
        <is>
          <t>yes</t>
        </is>
      </c>
    </row>
    <row r="87">
      <c r="A87" s="14" t="inlineStr">
        <is>
          <t>sum</t>
        </is>
      </c>
      <c r="B87" s="14" t="inlineStr">
        <is>
          <t>reduction</t>
        </is>
      </c>
      <c r="C87" s="14" t="inlineStr">
        <is>
          <t>s</t>
        </is>
      </c>
      <c r="D87" s="14" t="inlineStr">
        <is>
          <t>max</t>
        </is>
      </c>
      <c r="E87" s="14" t="inlineStr">
        <is>
          <t>256,0</t>
        </is>
      </c>
      <c r="F87" s="5" t="n">
        <v>1</v>
      </c>
      <c r="G87" s="15" t="n">
        <v>56</v>
      </c>
      <c r="H87" s="15" t="n">
        <v>53</v>
      </c>
      <c r="I87" s="17" t="n"/>
      <c r="J87" s="17" t="n"/>
      <c r="K87" s="17" t="n"/>
      <c r="L87" s="7">
        <f>IF(AND(ISNUMBER(I87),ISNUMBER(G87)),I87/G87,"")</f>
        <v/>
      </c>
      <c r="M87" s="7">
        <f>IF(AND(ISNUMBER(I87),ISNUMBER(H87)),I87/H87,"")</f>
        <v/>
      </c>
      <c r="N87" s="7">
        <f>IF(AND(ISNUMBER(H87),ISNUMBER(G87)),H87/G87,"")</f>
        <v/>
      </c>
      <c r="O87" s="9">
        <f>IF(AND(ISNUMBER(J87),ISNUMBER(G87)),J87/G87,"")</f>
        <v/>
      </c>
      <c r="P87" s="14">
        <f>IF(L87="","n/a",IF(L87&lt;0.95,"Lead",IF(L87&gt;1.05,"Lag","Parity")))</f>
        <v/>
      </c>
      <c r="Q87" s="14">
        <f>IF(M87="","n/a",IF(M87&lt;0.95,"Lead",IF(M87&gt;1.05,"Lag","Parity")))</f>
        <v/>
      </c>
      <c r="R87" s="14" t="inlineStr">
        <is>
          <t>unsupported</t>
        </is>
      </c>
      <c r="S87" s="14" t="inlineStr">
        <is>
          <t>unsupported</t>
        </is>
      </c>
      <c r="T87" s="14" t="n"/>
      <c r="U87" s="8" t="n"/>
      <c r="V87" s="8" t="n"/>
      <c r="W87" s="10" t="n"/>
      <c r="X87" s="10" t="n"/>
      <c r="Y87" s="10" t="n"/>
      <c r="Z87" s="10" t="n"/>
      <c r="AA87" s="6" t="inlineStr">
        <is>
          <t>NOT_EXPRESSIBLE / reduction syntax, i64 accumulators</t>
        </is>
      </c>
      <c r="AB87" s="14" t="inlineStr">
        <is>
          <t>yes</t>
        </is>
      </c>
    </row>
    <row r="88">
      <c r="A88" s="14" t="inlineStr">
        <is>
          <t>sum</t>
        </is>
      </c>
      <c r="B88" s="14" t="inlineStr">
        <is>
          <t>reduction</t>
        </is>
      </c>
      <c r="C88" s="14" t="inlineStr">
        <is>
          <t>s</t>
        </is>
      </c>
      <c r="D88" s="14" t="inlineStr">
        <is>
          <t>ramp</t>
        </is>
      </c>
      <c r="E88" s="14" t="inlineStr">
        <is>
          <t>256,0</t>
        </is>
      </c>
      <c r="F88" s="5" t="n">
        <v>1</v>
      </c>
      <c r="G88" s="15" t="n">
        <v>56</v>
      </c>
      <c r="H88" s="15" t="n">
        <v>53</v>
      </c>
      <c r="I88" s="17" t="n"/>
      <c r="J88" s="17" t="n"/>
      <c r="K88" s="17" t="n"/>
      <c r="L88" s="7">
        <f>IF(AND(ISNUMBER(I88),ISNUMBER(G88)),I88/G88,"")</f>
        <v/>
      </c>
      <c r="M88" s="7">
        <f>IF(AND(ISNUMBER(I88),ISNUMBER(H88)),I88/H88,"")</f>
        <v/>
      </c>
      <c r="N88" s="7">
        <f>IF(AND(ISNUMBER(H88),ISNUMBER(G88)),H88/G88,"")</f>
        <v/>
      </c>
      <c r="O88" s="9">
        <f>IF(AND(ISNUMBER(J88),ISNUMBER(G88)),J88/G88,"")</f>
        <v/>
      </c>
      <c r="P88" s="14">
        <f>IF(L88="","n/a",IF(L88&lt;0.95,"Lead",IF(L88&gt;1.05,"Lag","Parity")))</f>
        <v/>
      </c>
      <c r="Q88" s="14">
        <f>IF(M88="","n/a",IF(M88&lt;0.95,"Lead",IF(M88&gt;1.05,"Lag","Parity")))</f>
        <v/>
      </c>
      <c r="R88" s="14" t="inlineStr">
        <is>
          <t>unsupported</t>
        </is>
      </c>
      <c r="S88" s="14" t="inlineStr">
        <is>
          <t>unsupported</t>
        </is>
      </c>
      <c r="T88" s="14" t="n"/>
      <c r="U88" s="8" t="n"/>
      <c r="V88" s="8" t="n"/>
      <c r="W88" s="10" t="n"/>
      <c r="X88" s="10" t="n"/>
      <c r="Y88" s="10" t="n"/>
      <c r="Z88" s="10" t="n"/>
      <c r="AA88" s="6" t="inlineStr">
        <is>
          <t>NOT_EXPRESSIBLE / reduction syntax, i64 accumulators</t>
        </is>
      </c>
      <c r="AB88" s="14" t="inlineStr">
        <is>
          <t>yes</t>
        </is>
      </c>
    </row>
    <row r="89">
      <c r="A89" s="14" t="inlineStr">
        <is>
          <t>sum</t>
        </is>
      </c>
      <c r="B89" s="14" t="inlineStr">
        <is>
          <t>reduction</t>
        </is>
      </c>
      <c r="C89" s="14" t="inlineStr">
        <is>
          <t>m</t>
        </is>
      </c>
      <c r="D89" s="14" t="inlineStr">
        <is>
          <t>hash</t>
        </is>
      </c>
      <c r="E89" s="14" t="inlineStr">
        <is>
          <t>65536,0</t>
        </is>
      </c>
      <c r="F89" s="5" t="n">
        <v>1</v>
      </c>
      <c r="G89" s="15" t="n">
        <v>13768</v>
      </c>
      <c r="H89" s="15" t="n">
        <v>12328</v>
      </c>
      <c r="I89" s="17" t="n"/>
      <c r="J89" s="17" t="n"/>
      <c r="K89" s="17" t="n"/>
      <c r="L89" s="7">
        <f>IF(AND(ISNUMBER(I89),ISNUMBER(G89)),I89/G89,"")</f>
        <v/>
      </c>
      <c r="M89" s="7">
        <f>IF(AND(ISNUMBER(I89),ISNUMBER(H89)),I89/H89,"")</f>
        <v/>
      </c>
      <c r="N89" s="7">
        <f>IF(AND(ISNUMBER(H89),ISNUMBER(G89)),H89/G89,"")</f>
        <v/>
      </c>
      <c r="O89" s="9">
        <f>IF(AND(ISNUMBER(J89),ISNUMBER(G89)),J89/G89,"")</f>
        <v/>
      </c>
      <c r="P89" s="14">
        <f>IF(L89="","n/a",IF(L89&lt;0.95,"Lead",IF(L89&gt;1.05,"Lag","Parity")))</f>
        <v/>
      </c>
      <c r="Q89" s="14">
        <f>IF(M89="","n/a",IF(M89&lt;0.95,"Lead",IF(M89&gt;1.05,"Lag","Parity")))</f>
        <v/>
      </c>
      <c r="R89" s="14" t="inlineStr">
        <is>
          <t>unsupported</t>
        </is>
      </c>
      <c r="S89" s="14" t="inlineStr">
        <is>
          <t>unsupported</t>
        </is>
      </c>
      <c r="T89" s="14" t="n"/>
      <c r="U89" s="8" t="n"/>
      <c r="V89" s="8" t="n"/>
      <c r="W89" s="10" t="n"/>
      <c r="X89" s="10" t="n"/>
      <c r="Y89" s="10" t="n"/>
      <c r="Z89" s="10" t="n"/>
      <c r="AA89" s="6" t="inlineStr">
        <is>
          <t>NOT_EXPRESSIBLE / reduction syntax, i64 accumulators</t>
        </is>
      </c>
      <c r="AB89" s="14" t="inlineStr">
        <is>
          <t>yes</t>
        </is>
      </c>
    </row>
    <row r="90">
      <c r="A90" s="14" t="inlineStr">
        <is>
          <t>sum</t>
        </is>
      </c>
      <c r="B90" s="14" t="inlineStr">
        <is>
          <t>reduction</t>
        </is>
      </c>
      <c r="C90" s="14" t="inlineStr">
        <is>
          <t>m</t>
        </is>
      </c>
      <c r="D90" s="14" t="inlineStr">
        <is>
          <t>max</t>
        </is>
      </c>
      <c r="E90" s="14" t="inlineStr">
        <is>
          <t>65536,0</t>
        </is>
      </c>
      <c r="F90" s="5" t="n">
        <v>1</v>
      </c>
      <c r="G90" s="15" t="n">
        <v>14480</v>
      </c>
      <c r="H90" s="15" t="n">
        <v>12576</v>
      </c>
      <c r="I90" s="17" t="n"/>
      <c r="J90" s="17" t="n"/>
      <c r="K90" s="17" t="n"/>
      <c r="L90" s="7">
        <f>IF(AND(ISNUMBER(I90),ISNUMBER(G90)),I90/G90,"")</f>
        <v/>
      </c>
      <c r="M90" s="7">
        <f>IF(AND(ISNUMBER(I90),ISNUMBER(H90)),I90/H90,"")</f>
        <v/>
      </c>
      <c r="N90" s="7">
        <f>IF(AND(ISNUMBER(H90),ISNUMBER(G90)),H90/G90,"")</f>
        <v/>
      </c>
      <c r="O90" s="9">
        <f>IF(AND(ISNUMBER(J90),ISNUMBER(G90)),J90/G90,"")</f>
        <v/>
      </c>
      <c r="P90" s="14">
        <f>IF(L90="","n/a",IF(L90&lt;0.95,"Lead",IF(L90&gt;1.05,"Lag","Parity")))</f>
        <v/>
      </c>
      <c r="Q90" s="14">
        <f>IF(M90="","n/a",IF(M90&lt;0.95,"Lead",IF(M90&gt;1.05,"Lag","Parity")))</f>
        <v/>
      </c>
      <c r="R90" s="14" t="inlineStr">
        <is>
          <t>unsupported</t>
        </is>
      </c>
      <c r="S90" s="14" t="inlineStr">
        <is>
          <t>unsupported</t>
        </is>
      </c>
      <c r="T90" s="14" t="n"/>
      <c r="U90" s="8" t="n"/>
      <c r="V90" s="8" t="n"/>
      <c r="W90" s="10" t="n"/>
      <c r="X90" s="10" t="n"/>
      <c r="Y90" s="10" t="n"/>
      <c r="Z90" s="10" t="n"/>
      <c r="AA90" s="6" t="inlineStr">
        <is>
          <t>NOT_EXPRESSIBLE / reduction syntax, i64 accumulators</t>
        </is>
      </c>
      <c r="AB90" s="14" t="inlineStr">
        <is>
          <t>yes</t>
        </is>
      </c>
    </row>
    <row r="91">
      <c r="A91" s="14" t="inlineStr">
        <is>
          <t>sum</t>
        </is>
      </c>
      <c r="B91" s="14" t="inlineStr">
        <is>
          <t>reduction</t>
        </is>
      </c>
      <c r="C91" s="14" t="inlineStr">
        <is>
          <t>m</t>
        </is>
      </c>
      <c r="D91" s="14" t="inlineStr">
        <is>
          <t>ramp</t>
        </is>
      </c>
      <c r="E91" s="14" t="inlineStr">
        <is>
          <t>65536,0</t>
        </is>
      </c>
      <c r="F91" s="5" t="n">
        <v>1</v>
      </c>
      <c r="G91" s="15" t="n">
        <v>15557</v>
      </c>
      <c r="H91" s="15" t="n">
        <v>12471</v>
      </c>
      <c r="I91" s="17" t="n"/>
      <c r="J91" s="17" t="n"/>
      <c r="K91" s="17" t="n"/>
      <c r="L91" s="7">
        <f>IF(AND(ISNUMBER(I91),ISNUMBER(G91)),I91/G91,"")</f>
        <v/>
      </c>
      <c r="M91" s="7">
        <f>IF(AND(ISNUMBER(I91),ISNUMBER(H91)),I91/H91,"")</f>
        <v/>
      </c>
      <c r="N91" s="7">
        <f>IF(AND(ISNUMBER(H91),ISNUMBER(G91)),H91/G91,"")</f>
        <v/>
      </c>
      <c r="O91" s="9">
        <f>IF(AND(ISNUMBER(J91),ISNUMBER(G91)),J91/G91,"")</f>
        <v/>
      </c>
      <c r="P91" s="14">
        <f>IF(L91="","n/a",IF(L91&lt;0.95,"Lead",IF(L91&gt;1.05,"Lag","Parity")))</f>
        <v/>
      </c>
      <c r="Q91" s="14">
        <f>IF(M91="","n/a",IF(M91&lt;0.95,"Lead",IF(M91&gt;1.05,"Lag","Parity")))</f>
        <v/>
      </c>
      <c r="R91" s="14" t="inlineStr">
        <is>
          <t>unsupported</t>
        </is>
      </c>
      <c r="S91" s="14" t="inlineStr">
        <is>
          <t>unsupported</t>
        </is>
      </c>
      <c r="T91" s="14" t="n"/>
      <c r="U91" s="8" t="n"/>
      <c r="V91" s="8" t="n"/>
      <c r="W91" s="10" t="n"/>
      <c r="X91" s="10" t="n"/>
      <c r="Y91" s="10" t="n"/>
      <c r="Z91" s="10" t="n"/>
      <c r="AA91" s="6" t="inlineStr">
        <is>
          <t>NOT_EXPRESSIBLE / reduction syntax, i64 accumulators</t>
        </is>
      </c>
      <c r="AB91" s="14" t="inlineStr">
        <is>
          <t>yes</t>
        </is>
      </c>
    </row>
    <row r="92">
      <c r="A92" s="14" t="inlineStr">
        <is>
          <t>sum</t>
        </is>
      </c>
      <c r="B92" s="14" t="inlineStr">
        <is>
          <t>reduction</t>
        </is>
      </c>
      <c r="C92" s="14" t="inlineStr">
        <is>
          <t>l</t>
        </is>
      </c>
      <c r="D92" s="14" t="inlineStr">
        <is>
          <t>hash</t>
        </is>
      </c>
      <c r="E92" s="14" t="inlineStr">
        <is>
          <t>4194304,0</t>
        </is>
      </c>
      <c r="F92" s="5" t="n">
        <v>1</v>
      </c>
      <c r="G92" s="15" t="n">
        <v>1287100</v>
      </c>
      <c r="H92" s="15" t="n">
        <v>1313100</v>
      </c>
      <c r="I92" s="17" t="n"/>
      <c r="J92" s="17" t="n"/>
      <c r="K92" s="17" t="n"/>
      <c r="L92" s="7">
        <f>IF(AND(ISNUMBER(I92),ISNUMBER(G92)),I92/G92,"")</f>
        <v/>
      </c>
      <c r="M92" s="7">
        <f>IF(AND(ISNUMBER(I92),ISNUMBER(H92)),I92/H92,"")</f>
        <v/>
      </c>
      <c r="N92" s="7">
        <f>IF(AND(ISNUMBER(H92),ISNUMBER(G92)),H92/G92,"")</f>
        <v/>
      </c>
      <c r="O92" s="9">
        <f>IF(AND(ISNUMBER(J92),ISNUMBER(G92)),J92/G92,"")</f>
        <v/>
      </c>
      <c r="P92" s="14">
        <f>IF(L92="","n/a",IF(L92&lt;0.95,"Lead",IF(L92&gt;1.05,"Lag","Parity")))</f>
        <v/>
      </c>
      <c r="Q92" s="14">
        <f>IF(M92="","n/a",IF(M92&lt;0.95,"Lead",IF(M92&gt;1.05,"Lag","Parity")))</f>
        <v/>
      </c>
      <c r="R92" s="14" t="inlineStr">
        <is>
          <t>unsupported</t>
        </is>
      </c>
      <c r="S92" s="14" t="inlineStr">
        <is>
          <t>unsupported</t>
        </is>
      </c>
      <c r="T92" s="14" t="n"/>
      <c r="U92" s="8" t="n"/>
      <c r="V92" s="8" t="n"/>
      <c r="W92" s="10" t="n"/>
      <c r="X92" s="10" t="n"/>
      <c r="Y92" s="10" t="n"/>
      <c r="Z92" s="10" t="n"/>
      <c r="AA92" s="6" t="inlineStr">
        <is>
          <t>NOT_EXPRESSIBLE / reduction syntax, i64 accumulators</t>
        </is>
      </c>
      <c r="AB92" s="14" t="inlineStr">
        <is>
          <t>yes</t>
        </is>
      </c>
    </row>
    <row r="93">
      <c r="A93" s="14" t="inlineStr">
        <is>
          <t>sum</t>
        </is>
      </c>
      <c r="B93" s="14" t="inlineStr">
        <is>
          <t>reduction</t>
        </is>
      </c>
      <c r="C93" s="14" t="inlineStr">
        <is>
          <t>l</t>
        </is>
      </c>
      <c r="D93" s="14" t="inlineStr">
        <is>
          <t>max</t>
        </is>
      </c>
      <c r="E93" s="14" t="inlineStr">
        <is>
          <t>4194304,0</t>
        </is>
      </c>
      <c r="F93" s="5" t="n">
        <v>1</v>
      </c>
      <c r="G93" s="15" t="n">
        <v>1297050</v>
      </c>
      <c r="H93" s="15" t="n">
        <v>1272200</v>
      </c>
      <c r="I93" s="17" t="n"/>
      <c r="J93" s="17" t="n"/>
      <c r="K93" s="17" t="n"/>
      <c r="L93" s="7">
        <f>IF(AND(ISNUMBER(I93),ISNUMBER(G93)),I93/G93,"")</f>
        <v/>
      </c>
      <c r="M93" s="7">
        <f>IF(AND(ISNUMBER(I93),ISNUMBER(H93)),I93/H93,"")</f>
        <v/>
      </c>
      <c r="N93" s="7">
        <f>IF(AND(ISNUMBER(H93),ISNUMBER(G93)),H93/G93,"")</f>
        <v/>
      </c>
      <c r="O93" s="9">
        <f>IF(AND(ISNUMBER(J93),ISNUMBER(G93)),J93/G93,"")</f>
        <v/>
      </c>
      <c r="P93" s="14">
        <f>IF(L93="","n/a",IF(L93&lt;0.95,"Lead",IF(L93&gt;1.05,"Lag","Parity")))</f>
        <v/>
      </c>
      <c r="Q93" s="14">
        <f>IF(M93="","n/a",IF(M93&lt;0.95,"Lead",IF(M93&gt;1.05,"Lag","Parity")))</f>
        <v/>
      </c>
      <c r="R93" s="14" t="inlineStr">
        <is>
          <t>unsupported</t>
        </is>
      </c>
      <c r="S93" s="14" t="inlineStr">
        <is>
          <t>unsupported</t>
        </is>
      </c>
      <c r="T93" s="14" t="n"/>
      <c r="U93" s="8" t="n"/>
      <c r="V93" s="8" t="n"/>
      <c r="W93" s="10" t="n"/>
      <c r="X93" s="10" t="n"/>
      <c r="Y93" s="10" t="n"/>
      <c r="Z93" s="10" t="n"/>
      <c r="AA93" s="6" t="inlineStr">
        <is>
          <t>NOT_EXPRESSIBLE / reduction syntax, i64 accumulators</t>
        </is>
      </c>
      <c r="AB93" s="14" t="inlineStr">
        <is>
          <t>yes</t>
        </is>
      </c>
    </row>
    <row r="94">
      <c r="A94" s="14" t="inlineStr">
        <is>
          <t>sum</t>
        </is>
      </c>
      <c r="B94" s="14" t="inlineStr">
        <is>
          <t>reduction</t>
        </is>
      </c>
      <c r="C94" s="14" t="inlineStr">
        <is>
          <t>l</t>
        </is>
      </c>
      <c r="D94" s="14" t="inlineStr">
        <is>
          <t>ramp</t>
        </is>
      </c>
      <c r="E94" s="14" t="inlineStr">
        <is>
          <t>4194304,0</t>
        </is>
      </c>
      <c r="F94" s="5" t="n">
        <v>1</v>
      </c>
      <c r="G94" s="15" t="n">
        <v>1278200</v>
      </c>
      <c r="H94" s="15" t="n">
        <v>1290650</v>
      </c>
      <c r="I94" s="17" t="n"/>
      <c r="J94" s="17" t="n"/>
      <c r="K94" s="17" t="n"/>
      <c r="L94" s="7">
        <f>IF(AND(ISNUMBER(I94),ISNUMBER(G94)),I94/G94,"")</f>
        <v/>
      </c>
      <c r="M94" s="7">
        <f>IF(AND(ISNUMBER(I94),ISNUMBER(H94)),I94/H94,"")</f>
        <v/>
      </c>
      <c r="N94" s="7">
        <f>IF(AND(ISNUMBER(H94),ISNUMBER(G94)),H94/G94,"")</f>
        <v/>
      </c>
      <c r="O94" s="9">
        <f>IF(AND(ISNUMBER(J94),ISNUMBER(G94)),J94/G94,"")</f>
        <v/>
      </c>
      <c r="P94" s="14">
        <f>IF(L94="","n/a",IF(L94&lt;0.95,"Lead",IF(L94&gt;1.05,"Lag","Parity")))</f>
        <v/>
      </c>
      <c r="Q94" s="14">
        <f>IF(M94="","n/a",IF(M94&lt;0.95,"Lead",IF(M94&gt;1.05,"Lag","Parity")))</f>
        <v/>
      </c>
      <c r="R94" s="14" t="inlineStr">
        <is>
          <t>unsupported</t>
        </is>
      </c>
      <c r="S94" s="14" t="inlineStr">
        <is>
          <t>unsupported</t>
        </is>
      </c>
      <c r="T94" s="14" t="n"/>
      <c r="U94" s="8" t="n"/>
      <c r="V94" s="8" t="n"/>
      <c r="W94" s="10" t="n"/>
      <c r="X94" s="10" t="n"/>
      <c r="Y94" s="10" t="n"/>
      <c r="Z94" s="10" t="n"/>
      <c r="AA94" s="6" t="inlineStr">
        <is>
          <t>NOT_EXPRESSIBLE / reduction syntax, i64 accumulators</t>
        </is>
      </c>
      <c r="AB94" s="14" t="inlineStr">
        <is>
          <t>yes</t>
        </is>
      </c>
    </row>
    <row r="95">
      <c r="A95" s="14" t="inlineStr">
        <is>
          <t>dot</t>
        </is>
      </c>
      <c r="B95" s="14" t="inlineStr">
        <is>
          <t>reduction</t>
        </is>
      </c>
      <c r="C95" s="14" t="inlineStr">
        <is>
          <t>s</t>
        </is>
      </c>
      <c r="D95" s="14" t="inlineStr">
        <is>
          <t>hash</t>
        </is>
      </c>
      <c r="E95" s="14" t="inlineStr">
        <is>
          <t>128,0</t>
        </is>
      </c>
      <c r="F95" s="5" t="n">
        <v>1</v>
      </c>
      <c r="G95" s="15" t="n">
        <v>58</v>
      </c>
      <c r="H95" s="15" t="n">
        <v>66</v>
      </c>
      <c r="I95" s="17" t="n"/>
      <c r="J95" s="17" t="n"/>
      <c r="K95" s="17" t="n"/>
      <c r="L95" s="7">
        <f>IF(AND(ISNUMBER(I95),ISNUMBER(G95)),I95/G95,"")</f>
        <v/>
      </c>
      <c r="M95" s="7">
        <f>IF(AND(ISNUMBER(I95),ISNUMBER(H95)),I95/H95,"")</f>
        <v/>
      </c>
      <c r="N95" s="7">
        <f>IF(AND(ISNUMBER(H95),ISNUMBER(G95)),H95/G95,"")</f>
        <v/>
      </c>
      <c r="O95" s="9">
        <f>IF(AND(ISNUMBER(J95),ISNUMBER(G95)),J95/G95,"")</f>
        <v/>
      </c>
      <c r="P95" s="14">
        <f>IF(L95="","n/a",IF(L95&lt;0.95,"Lead",IF(L95&gt;1.05,"Lag","Parity")))</f>
        <v/>
      </c>
      <c r="Q95" s="14">
        <f>IF(M95="","n/a",IF(M95&lt;0.95,"Lead",IF(M95&gt;1.05,"Lag","Parity")))</f>
        <v/>
      </c>
      <c r="R95" s="14" t="inlineStr">
        <is>
          <t>unsupported</t>
        </is>
      </c>
      <c r="S95" s="14" t="inlineStr">
        <is>
          <t>unsupported</t>
        </is>
      </c>
      <c r="T95" s="14" t="n"/>
      <c r="U95" s="8" t="n"/>
      <c r="V95" s="8" t="n"/>
      <c r="W95" s="10" t="n"/>
      <c r="X95" s="10" t="n"/>
      <c r="Y95" s="10" t="n"/>
      <c r="Z95" s="10" t="n"/>
      <c r="AA95" s="6" t="inlineStr">
        <is>
          <t>NOT_EXPRESSIBLE / reduction syntax, multiple inputs, i64 accumulators</t>
        </is>
      </c>
      <c r="AB95" s="14" t="inlineStr">
        <is>
          <t>yes</t>
        </is>
      </c>
    </row>
    <row r="96">
      <c r="A96" s="14" t="inlineStr">
        <is>
          <t>dot</t>
        </is>
      </c>
      <c r="B96" s="14" t="inlineStr">
        <is>
          <t>reduction</t>
        </is>
      </c>
      <c r="C96" s="14" t="inlineStr">
        <is>
          <t>s</t>
        </is>
      </c>
      <c r="D96" s="14" t="inlineStr">
        <is>
          <t>max</t>
        </is>
      </c>
      <c r="E96" s="14" t="inlineStr">
        <is>
          <t>128,0</t>
        </is>
      </c>
      <c r="F96" s="5" t="n">
        <v>1</v>
      </c>
      <c r="G96" s="15" t="n">
        <v>58</v>
      </c>
      <c r="H96" s="15" t="n">
        <v>65</v>
      </c>
      <c r="I96" s="17" t="n"/>
      <c r="J96" s="17" t="n"/>
      <c r="K96" s="17" t="n"/>
      <c r="L96" s="7">
        <f>IF(AND(ISNUMBER(I96),ISNUMBER(G96)),I96/G96,"")</f>
        <v/>
      </c>
      <c r="M96" s="7">
        <f>IF(AND(ISNUMBER(I96),ISNUMBER(H96)),I96/H96,"")</f>
        <v/>
      </c>
      <c r="N96" s="7">
        <f>IF(AND(ISNUMBER(H96),ISNUMBER(G96)),H96/G96,"")</f>
        <v/>
      </c>
      <c r="O96" s="9">
        <f>IF(AND(ISNUMBER(J96),ISNUMBER(G96)),J96/G96,"")</f>
        <v/>
      </c>
      <c r="P96" s="14">
        <f>IF(L96="","n/a",IF(L96&lt;0.95,"Lead",IF(L96&gt;1.05,"Lag","Parity")))</f>
        <v/>
      </c>
      <c r="Q96" s="14">
        <f>IF(M96="","n/a",IF(M96&lt;0.95,"Lead",IF(M96&gt;1.05,"Lag","Parity")))</f>
        <v/>
      </c>
      <c r="R96" s="14" t="inlineStr">
        <is>
          <t>unsupported</t>
        </is>
      </c>
      <c r="S96" s="14" t="inlineStr">
        <is>
          <t>unsupported</t>
        </is>
      </c>
      <c r="T96" s="14" t="n"/>
      <c r="U96" s="8" t="n"/>
      <c r="V96" s="8" t="n"/>
      <c r="W96" s="10" t="n"/>
      <c r="X96" s="10" t="n"/>
      <c r="Y96" s="10" t="n"/>
      <c r="Z96" s="10" t="n"/>
      <c r="AA96" s="6" t="inlineStr">
        <is>
          <t>NOT_EXPRESSIBLE / reduction syntax, multiple inputs, i64 accumulators</t>
        </is>
      </c>
      <c r="AB96" s="14" t="inlineStr">
        <is>
          <t>yes</t>
        </is>
      </c>
    </row>
    <row r="97">
      <c r="A97" s="14" t="inlineStr">
        <is>
          <t>dot</t>
        </is>
      </c>
      <c r="B97" s="14" t="inlineStr">
        <is>
          <t>reduction</t>
        </is>
      </c>
      <c r="C97" s="14" t="inlineStr">
        <is>
          <t>s</t>
        </is>
      </c>
      <c r="D97" s="14" t="inlineStr">
        <is>
          <t>ramp</t>
        </is>
      </c>
      <c r="E97" s="14" t="inlineStr">
        <is>
          <t>128,0</t>
        </is>
      </c>
      <c r="F97" s="5" t="n">
        <v>1</v>
      </c>
      <c r="G97" s="15" t="n">
        <v>58</v>
      </c>
      <c r="H97" s="15" t="n">
        <v>65</v>
      </c>
      <c r="I97" s="17" t="n"/>
      <c r="J97" s="17" t="n"/>
      <c r="K97" s="17" t="n"/>
      <c r="L97" s="7">
        <f>IF(AND(ISNUMBER(I97),ISNUMBER(G97)),I97/G97,"")</f>
        <v/>
      </c>
      <c r="M97" s="7">
        <f>IF(AND(ISNUMBER(I97),ISNUMBER(H97)),I97/H97,"")</f>
        <v/>
      </c>
      <c r="N97" s="7">
        <f>IF(AND(ISNUMBER(H97),ISNUMBER(G97)),H97/G97,"")</f>
        <v/>
      </c>
      <c r="O97" s="9">
        <f>IF(AND(ISNUMBER(J97),ISNUMBER(G97)),J97/G97,"")</f>
        <v/>
      </c>
      <c r="P97" s="14">
        <f>IF(L97="","n/a",IF(L97&lt;0.95,"Lead",IF(L97&gt;1.05,"Lag","Parity")))</f>
        <v/>
      </c>
      <c r="Q97" s="14">
        <f>IF(M97="","n/a",IF(M97&lt;0.95,"Lead",IF(M97&gt;1.05,"Lag","Parity")))</f>
        <v/>
      </c>
      <c r="R97" s="14" t="inlineStr">
        <is>
          <t>unsupported</t>
        </is>
      </c>
      <c r="S97" s="14" t="inlineStr">
        <is>
          <t>unsupported</t>
        </is>
      </c>
      <c r="T97" s="14" t="n"/>
      <c r="U97" s="8" t="n"/>
      <c r="V97" s="8" t="n"/>
      <c r="W97" s="10" t="n"/>
      <c r="X97" s="10" t="n"/>
      <c r="Y97" s="10" t="n"/>
      <c r="Z97" s="10" t="n"/>
      <c r="AA97" s="6" t="inlineStr">
        <is>
          <t>NOT_EXPRESSIBLE / reduction syntax, multiple inputs, i64 accumulators</t>
        </is>
      </c>
      <c r="AB97" s="14" t="inlineStr">
        <is>
          <t>yes</t>
        </is>
      </c>
    </row>
    <row r="98">
      <c r="A98" s="14" t="inlineStr">
        <is>
          <t>dot</t>
        </is>
      </c>
      <c r="B98" s="14" t="inlineStr">
        <is>
          <t>reduction</t>
        </is>
      </c>
      <c r="C98" s="14" t="inlineStr">
        <is>
          <t>m</t>
        </is>
      </c>
      <c r="D98" s="14" t="inlineStr">
        <is>
          <t>hash</t>
        </is>
      </c>
      <c r="E98" s="14" t="inlineStr">
        <is>
          <t>32768,0</t>
        </is>
      </c>
      <c r="F98" s="5" t="n">
        <v>1</v>
      </c>
      <c r="G98" s="15" t="n">
        <v>13967</v>
      </c>
      <c r="H98" s="15" t="n">
        <v>13561</v>
      </c>
      <c r="I98" s="17" t="n"/>
      <c r="J98" s="17" t="n"/>
      <c r="K98" s="17" t="n"/>
      <c r="L98" s="7">
        <f>IF(AND(ISNUMBER(I98),ISNUMBER(G98)),I98/G98,"")</f>
        <v/>
      </c>
      <c r="M98" s="7">
        <f>IF(AND(ISNUMBER(I98),ISNUMBER(H98)),I98/H98,"")</f>
        <v/>
      </c>
      <c r="N98" s="7">
        <f>IF(AND(ISNUMBER(H98),ISNUMBER(G98)),H98/G98,"")</f>
        <v/>
      </c>
      <c r="O98" s="9">
        <f>IF(AND(ISNUMBER(J98),ISNUMBER(G98)),J98/G98,"")</f>
        <v/>
      </c>
      <c r="P98" s="14">
        <f>IF(L98="","n/a",IF(L98&lt;0.95,"Lead",IF(L98&gt;1.05,"Lag","Parity")))</f>
        <v/>
      </c>
      <c r="Q98" s="14">
        <f>IF(M98="","n/a",IF(M98&lt;0.95,"Lead",IF(M98&gt;1.05,"Lag","Parity")))</f>
        <v/>
      </c>
      <c r="R98" s="14" t="inlineStr">
        <is>
          <t>unsupported</t>
        </is>
      </c>
      <c r="S98" s="14" t="inlineStr">
        <is>
          <t>unsupported</t>
        </is>
      </c>
      <c r="T98" s="14" t="n"/>
      <c r="U98" s="8" t="n"/>
      <c r="V98" s="8" t="n"/>
      <c r="W98" s="10" t="n"/>
      <c r="X98" s="10" t="n"/>
      <c r="Y98" s="10" t="n"/>
      <c r="Z98" s="10" t="n"/>
      <c r="AA98" s="6" t="inlineStr">
        <is>
          <t>NOT_EXPRESSIBLE / reduction syntax, multiple inputs, i64 accumulators</t>
        </is>
      </c>
      <c r="AB98" s="14" t="inlineStr">
        <is>
          <t>yes</t>
        </is>
      </c>
    </row>
    <row r="99">
      <c r="A99" s="14" t="inlineStr">
        <is>
          <t>dot</t>
        </is>
      </c>
      <c r="B99" s="14" t="inlineStr">
        <is>
          <t>reduction</t>
        </is>
      </c>
      <c r="C99" s="14" t="inlineStr">
        <is>
          <t>m</t>
        </is>
      </c>
      <c r="D99" s="14" t="inlineStr">
        <is>
          <t>max</t>
        </is>
      </c>
      <c r="E99" s="14" t="inlineStr">
        <is>
          <t>32768,0</t>
        </is>
      </c>
      <c r="F99" s="5" t="n">
        <v>1</v>
      </c>
      <c r="G99" s="15" t="n">
        <v>14032</v>
      </c>
      <c r="H99" s="15" t="n">
        <v>13642</v>
      </c>
      <c r="I99" s="17" t="n"/>
      <c r="J99" s="17" t="n"/>
      <c r="K99" s="17" t="n"/>
      <c r="L99" s="7">
        <f>IF(AND(ISNUMBER(I99),ISNUMBER(G99)),I99/G99,"")</f>
        <v/>
      </c>
      <c r="M99" s="7">
        <f>IF(AND(ISNUMBER(I99),ISNUMBER(H99)),I99/H99,"")</f>
        <v/>
      </c>
      <c r="N99" s="7">
        <f>IF(AND(ISNUMBER(H99),ISNUMBER(G99)),H99/G99,"")</f>
        <v/>
      </c>
      <c r="O99" s="9">
        <f>IF(AND(ISNUMBER(J99),ISNUMBER(G99)),J99/G99,"")</f>
        <v/>
      </c>
      <c r="P99" s="14">
        <f>IF(L99="","n/a",IF(L99&lt;0.95,"Lead",IF(L99&gt;1.05,"Lag","Parity")))</f>
        <v/>
      </c>
      <c r="Q99" s="14">
        <f>IF(M99="","n/a",IF(M99&lt;0.95,"Lead",IF(M99&gt;1.05,"Lag","Parity")))</f>
        <v/>
      </c>
      <c r="R99" s="14" t="inlineStr">
        <is>
          <t>unsupported</t>
        </is>
      </c>
      <c r="S99" s="14" t="inlineStr">
        <is>
          <t>unsupported</t>
        </is>
      </c>
      <c r="T99" s="14" t="n"/>
      <c r="U99" s="8" t="n"/>
      <c r="V99" s="8" t="n"/>
      <c r="W99" s="10" t="n"/>
      <c r="X99" s="10" t="n"/>
      <c r="Y99" s="10" t="n"/>
      <c r="Z99" s="10" t="n"/>
      <c r="AA99" s="6" t="inlineStr">
        <is>
          <t>NOT_EXPRESSIBLE / reduction syntax, multiple inputs, i64 accumulators</t>
        </is>
      </c>
      <c r="AB99" s="14" t="inlineStr">
        <is>
          <t>yes</t>
        </is>
      </c>
    </row>
    <row r="100">
      <c r="A100" s="14" t="inlineStr">
        <is>
          <t>dot</t>
        </is>
      </c>
      <c r="B100" s="14" t="inlineStr">
        <is>
          <t>reduction</t>
        </is>
      </c>
      <c r="C100" s="14" t="inlineStr">
        <is>
          <t>m</t>
        </is>
      </c>
      <c r="D100" s="14" t="inlineStr">
        <is>
          <t>ramp</t>
        </is>
      </c>
      <c r="E100" s="14" t="inlineStr">
        <is>
          <t>32768,0</t>
        </is>
      </c>
      <c r="F100" s="5" t="n">
        <v>1</v>
      </c>
      <c r="G100" s="15" t="n">
        <v>13966</v>
      </c>
      <c r="H100" s="15" t="n">
        <v>13636</v>
      </c>
      <c r="I100" s="17" t="n"/>
      <c r="J100" s="17" t="n"/>
      <c r="K100" s="17" t="n"/>
      <c r="L100" s="7">
        <f>IF(AND(ISNUMBER(I100),ISNUMBER(G100)),I100/G100,"")</f>
        <v/>
      </c>
      <c r="M100" s="7">
        <f>IF(AND(ISNUMBER(I100),ISNUMBER(H100)),I100/H100,"")</f>
        <v/>
      </c>
      <c r="N100" s="7">
        <f>IF(AND(ISNUMBER(H100),ISNUMBER(G100)),H100/G100,"")</f>
        <v/>
      </c>
      <c r="O100" s="9">
        <f>IF(AND(ISNUMBER(J100),ISNUMBER(G100)),J100/G100,"")</f>
        <v/>
      </c>
      <c r="P100" s="14">
        <f>IF(L100="","n/a",IF(L100&lt;0.95,"Lead",IF(L100&gt;1.05,"Lag","Parity")))</f>
        <v/>
      </c>
      <c r="Q100" s="14">
        <f>IF(M100="","n/a",IF(M100&lt;0.95,"Lead",IF(M100&gt;1.05,"Lag","Parity")))</f>
        <v/>
      </c>
      <c r="R100" s="14" t="inlineStr">
        <is>
          <t>unsupported</t>
        </is>
      </c>
      <c r="S100" s="14" t="inlineStr">
        <is>
          <t>unsupported</t>
        </is>
      </c>
      <c r="T100" s="14" t="n"/>
      <c r="U100" s="8" t="n"/>
      <c r="V100" s="8" t="n"/>
      <c r="W100" s="10" t="n"/>
      <c r="X100" s="10" t="n"/>
      <c r="Y100" s="10" t="n"/>
      <c r="Z100" s="10" t="n"/>
      <c r="AA100" s="6" t="inlineStr">
        <is>
          <t>NOT_EXPRESSIBLE / reduction syntax, multiple inputs, i64 accumulators</t>
        </is>
      </c>
      <c r="AB100" s="14" t="inlineStr">
        <is>
          <t>yes</t>
        </is>
      </c>
    </row>
    <row r="101">
      <c r="A101" s="14" t="inlineStr">
        <is>
          <t>dot</t>
        </is>
      </c>
      <c r="B101" s="14" t="inlineStr">
        <is>
          <t>reduction</t>
        </is>
      </c>
      <c r="C101" s="14" t="inlineStr">
        <is>
          <t>l</t>
        </is>
      </c>
      <c r="D101" s="14" t="inlineStr">
        <is>
          <t>hash</t>
        </is>
      </c>
      <c r="E101" s="14" t="inlineStr">
        <is>
          <t>2097152,0</t>
        </is>
      </c>
      <c r="F101" s="5" t="n">
        <v>1</v>
      </c>
      <c r="G101" s="15" t="n">
        <v>1104100</v>
      </c>
      <c r="H101" s="15" t="n">
        <v>1083800</v>
      </c>
      <c r="I101" s="17" t="n"/>
      <c r="J101" s="17" t="n"/>
      <c r="K101" s="17" t="n"/>
      <c r="L101" s="7">
        <f>IF(AND(ISNUMBER(I101),ISNUMBER(G101)),I101/G101,"")</f>
        <v/>
      </c>
      <c r="M101" s="7">
        <f>IF(AND(ISNUMBER(I101),ISNUMBER(H101)),I101/H101,"")</f>
        <v/>
      </c>
      <c r="N101" s="7">
        <f>IF(AND(ISNUMBER(H101),ISNUMBER(G101)),H101/G101,"")</f>
        <v/>
      </c>
      <c r="O101" s="9">
        <f>IF(AND(ISNUMBER(J101),ISNUMBER(G101)),J101/G101,"")</f>
        <v/>
      </c>
      <c r="P101" s="14">
        <f>IF(L101="","n/a",IF(L101&lt;0.95,"Lead",IF(L101&gt;1.05,"Lag","Parity")))</f>
        <v/>
      </c>
      <c r="Q101" s="14">
        <f>IF(M101="","n/a",IF(M101&lt;0.95,"Lead",IF(M101&gt;1.05,"Lag","Parity")))</f>
        <v/>
      </c>
      <c r="R101" s="14" t="inlineStr">
        <is>
          <t>unsupported</t>
        </is>
      </c>
      <c r="S101" s="14" t="inlineStr">
        <is>
          <t>unsupported</t>
        </is>
      </c>
      <c r="T101" s="14" t="n"/>
      <c r="U101" s="8" t="n"/>
      <c r="V101" s="8" t="n"/>
      <c r="W101" s="10" t="n"/>
      <c r="X101" s="10" t="n"/>
      <c r="Y101" s="10" t="n"/>
      <c r="Z101" s="10" t="n"/>
      <c r="AA101" s="6" t="inlineStr">
        <is>
          <t>NOT_EXPRESSIBLE / reduction syntax, multiple inputs, i64 accumulators</t>
        </is>
      </c>
      <c r="AB101" s="14" t="inlineStr">
        <is>
          <t>yes</t>
        </is>
      </c>
    </row>
    <row r="102">
      <c r="A102" s="14" t="inlineStr">
        <is>
          <t>dot</t>
        </is>
      </c>
      <c r="B102" s="14" t="inlineStr">
        <is>
          <t>reduction</t>
        </is>
      </c>
      <c r="C102" s="14" t="inlineStr">
        <is>
          <t>l</t>
        </is>
      </c>
      <c r="D102" s="14" t="inlineStr">
        <is>
          <t>max</t>
        </is>
      </c>
      <c r="E102" s="14" t="inlineStr">
        <is>
          <t>2097152,0</t>
        </is>
      </c>
      <c r="F102" s="5" t="n">
        <v>1</v>
      </c>
      <c r="G102" s="15" t="n">
        <v>1118200</v>
      </c>
      <c r="H102" s="15" t="n">
        <v>1094000</v>
      </c>
      <c r="I102" s="17" t="n"/>
      <c r="J102" s="17" t="n"/>
      <c r="K102" s="17" t="n"/>
      <c r="L102" s="7">
        <f>IF(AND(ISNUMBER(I102),ISNUMBER(G102)),I102/G102,"")</f>
        <v/>
      </c>
      <c r="M102" s="7">
        <f>IF(AND(ISNUMBER(I102),ISNUMBER(H102)),I102/H102,"")</f>
        <v/>
      </c>
      <c r="N102" s="7">
        <f>IF(AND(ISNUMBER(H102),ISNUMBER(G102)),H102/G102,"")</f>
        <v/>
      </c>
      <c r="O102" s="9">
        <f>IF(AND(ISNUMBER(J102),ISNUMBER(G102)),J102/G102,"")</f>
        <v/>
      </c>
      <c r="P102" s="14">
        <f>IF(L102="","n/a",IF(L102&lt;0.95,"Lead",IF(L102&gt;1.05,"Lag","Parity")))</f>
        <v/>
      </c>
      <c r="Q102" s="14">
        <f>IF(M102="","n/a",IF(M102&lt;0.95,"Lead",IF(M102&gt;1.05,"Lag","Parity")))</f>
        <v/>
      </c>
      <c r="R102" s="14" t="inlineStr">
        <is>
          <t>unsupported</t>
        </is>
      </c>
      <c r="S102" s="14" t="inlineStr">
        <is>
          <t>unsupported</t>
        </is>
      </c>
      <c r="T102" s="14" t="n"/>
      <c r="U102" s="8" t="n"/>
      <c r="V102" s="8" t="n"/>
      <c r="W102" s="10" t="n"/>
      <c r="X102" s="10" t="n"/>
      <c r="Y102" s="10" t="n"/>
      <c r="Z102" s="10" t="n"/>
      <c r="AA102" s="6" t="inlineStr">
        <is>
          <t>NOT_EXPRESSIBLE / reduction syntax, multiple inputs, i64 accumulators</t>
        </is>
      </c>
      <c r="AB102" s="14" t="inlineStr">
        <is>
          <t>yes</t>
        </is>
      </c>
    </row>
    <row r="103">
      <c r="A103" s="14" t="inlineStr">
        <is>
          <t>dot</t>
        </is>
      </c>
      <c r="B103" s="14" t="inlineStr">
        <is>
          <t>reduction</t>
        </is>
      </c>
      <c r="C103" s="14" t="inlineStr">
        <is>
          <t>l</t>
        </is>
      </c>
      <c r="D103" s="14" t="inlineStr">
        <is>
          <t>ramp</t>
        </is>
      </c>
      <c r="E103" s="14" t="inlineStr">
        <is>
          <t>2097152,0</t>
        </is>
      </c>
      <c r="F103" s="5" t="n">
        <v>1</v>
      </c>
      <c r="G103" s="15" t="n">
        <v>1106050</v>
      </c>
      <c r="H103" s="15" t="n">
        <v>1116150</v>
      </c>
      <c r="I103" s="17" t="n"/>
      <c r="J103" s="17" t="n"/>
      <c r="K103" s="17" t="n"/>
      <c r="L103" s="7">
        <f>IF(AND(ISNUMBER(I103),ISNUMBER(G103)),I103/G103,"")</f>
        <v/>
      </c>
      <c r="M103" s="7">
        <f>IF(AND(ISNUMBER(I103),ISNUMBER(H103)),I103/H103,"")</f>
        <v/>
      </c>
      <c r="N103" s="7">
        <f>IF(AND(ISNUMBER(H103),ISNUMBER(G103)),H103/G103,"")</f>
        <v/>
      </c>
      <c r="O103" s="9">
        <f>IF(AND(ISNUMBER(J103),ISNUMBER(G103)),J103/G103,"")</f>
        <v/>
      </c>
      <c r="P103" s="14">
        <f>IF(L103="","n/a",IF(L103&lt;0.95,"Lead",IF(L103&gt;1.05,"Lag","Parity")))</f>
        <v/>
      </c>
      <c r="Q103" s="14">
        <f>IF(M103="","n/a",IF(M103&lt;0.95,"Lead",IF(M103&gt;1.05,"Lag","Parity")))</f>
        <v/>
      </c>
      <c r="R103" s="14" t="inlineStr">
        <is>
          <t>unsupported</t>
        </is>
      </c>
      <c r="S103" s="14" t="inlineStr">
        <is>
          <t>unsupported</t>
        </is>
      </c>
      <c r="T103" s="14" t="n"/>
      <c r="U103" s="8" t="n"/>
      <c r="V103" s="8" t="n"/>
      <c r="W103" s="10" t="n"/>
      <c r="X103" s="10" t="n"/>
      <c r="Y103" s="10" t="n"/>
      <c r="Z103" s="10" t="n"/>
      <c r="AA103" s="6" t="inlineStr">
        <is>
          <t>NOT_EXPRESSIBLE / reduction syntax, multiple inputs, i64 accumulators</t>
        </is>
      </c>
      <c r="AB103" s="14" t="inlineStr">
        <is>
          <t>yes</t>
        </is>
      </c>
    </row>
    <row r="104">
      <c r="A104" s="14" t="inlineStr">
        <is>
          <t>scan</t>
        </is>
      </c>
      <c r="B104" s="14" t="inlineStr">
        <is>
          <t>scan</t>
        </is>
      </c>
      <c r="C104" s="14" t="inlineStr">
        <is>
          <t>s</t>
        </is>
      </c>
      <c r="D104" s="14" t="inlineStr">
        <is>
          <t>hash</t>
        </is>
      </c>
      <c r="E104" s="14" t="inlineStr">
        <is>
          <t>256,0</t>
        </is>
      </c>
      <c r="F104" s="5" t="n">
        <v>256</v>
      </c>
      <c r="G104" s="15" t="n">
        <v>87</v>
      </c>
      <c r="H104" s="15" t="n">
        <v>172</v>
      </c>
      <c r="I104" s="17" t="n"/>
      <c r="J104" s="17" t="n"/>
      <c r="K104" s="17" t="n"/>
      <c r="L104" s="7">
        <f>IF(AND(ISNUMBER(I104),ISNUMBER(G104)),I104/G104,"")</f>
        <v/>
      </c>
      <c r="M104" s="7">
        <f>IF(AND(ISNUMBER(I104),ISNUMBER(H104)),I104/H104,"")</f>
        <v/>
      </c>
      <c r="N104" s="7">
        <f>IF(AND(ISNUMBER(H104),ISNUMBER(G104)),H104/G104,"")</f>
        <v/>
      </c>
      <c r="O104" s="9">
        <f>IF(AND(ISNUMBER(J104),ISNUMBER(G104)),J104/G104,"")</f>
        <v/>
      </c>
      <c r="P104" s="14">
        <f>IF(L104="","n/a",IF(L104&lt;0.95,"Lead",IF(L104&gt;1.05,"Lag","Parity")))</f>
        <v/>
      </c>
      <c r="Q104" s="14">
        <f>IF(M104="","n/a",IF(M104&lt;0.95,"Lead",IF(M104&gt;1.05,"Lag","Parity")))</f>
        <v/>
      </c>
      <c r="R104" s="14" t="inlineStr">
        <is>
          <t>unsupported</t>
        </is>
      </c>
      <c r="S104" s="14" t="inlineStr">
        <is>
          <t>unsupported</t>
        </is>
      </c>
      <c r="T104" s="14" t="n"/>
      <c r="U104" s="8" t="n"/>
      <c r="V104" s="8" t="n"/>
      <c r="W104" s="10" t="n"/>
      <c r="X104" s="10" t="n"/>
      <c r="Y104" s="10" t="n"/>
      <c r="Z104" s="10" t="n"/>
      <c r="AA104" s="6" t="inlineStr">
        <is>
          <t>NOT_EXPRESSIBLE / recurrence/scan syntax, i64 outputs</t>
        </is>
      </c>
      <c r="AB104" s="14" t="inlineStr">
        <is>
          <t>yes</t>
        </is>
      </c>
    </row>
    <row r="105">
      <c r="A105" s="14" t="inlineStr">
        <is>
          <t>scan</t>
        </is>
      </c>
      <c r="B105" s="14" t="inlineStr">
        <is>
          <t>scan</t>
        </is>
      </c>
      <c r="C105" s="14" t="inlineStr">
        <is>
          <t>s</t>
        </is>
      </c>
      <c r="D105" s="14" t="inlineStr">
        <is>
          <t>max</t>
        </is>
      </c>
      <c r="E105" s="14" t="inlineStr">
        <is>
          <t>256,0</t>
        </is>
      </c>
      <c r="F105" s="5" t="n">
        <v>256</v>
      </c>
      <c r="G105" s="15" t="n">
        <v>88</v>
      </c>
      <c r="H105" s="15" t="n">
        <v>174</v>
      </c>
      <c r="I105" s="17" t="n"/>
      <c r="J105" s="17" t="n"/>
      <c r="K105" s="17" t="n"/>
      <c r="L105" s="7">
        <f>IF(AND(ISNUMBER(I105),ISNUMBER(G105)),I105/G105,"")</f>
        <v/>
      </c>
      <c r="M105" s="7">
        <f>IF(AND(ISNUMBER(I105),ISNUMBER(H105)),I105/H105,"")</f>
        <v/>
      </c>
      <c r="N105" s="7">
        <f>IF(AND(ISNUMBER(H105),ISNUMBER(G105)),H105/G105,"")</f>
        <v/>
      </c>
      <c r="O105" s="9">
        <f>IF(AND(ISNUMBER(J105),ISNUMBER(G105)),J105/G105,"")</f>
        <v/>
      </c>
      <c r="P105" s="14">
        <f>IF(L105="","n/a",IF(L105&lt;0.95,"Lead",IF(L105&gt;1.05,"Lag","Parity")))</f>
        <v/>
      </c>
      <c r="Q105" s="14">
        <f>IF(M105="","n/a",IF(M105&lt;0.95,"Lead",IF(M105&gt;1.05,"Lag","Parity")))</f>
        <v/>
      </c>
      <c r="R105" s="14" t="inlineStr">
        <is>
          <t>unsupported</t>
        </is>
      </c>
      <c r="S105" s="14" t="inlineStr">
        <is>
          <t>unsupported</t>
        </is>
      </c>
      <c r="T105" s="14" t="n"/>
      <c r="U105" s="8" t="n"/>
      <c r="V105" s="8" t="n"/>
      <c r="W105" s="10" t="n"/>
      <c r="X105" s="10" t="n"/>
      <c r="Y105" s="10" t="n"/>
      <c r="Z105" s="10" t="n"/>
      <c r="AA105" s="6" t="inlineStr">
        <is>
          <t>NOT_EXPRESSIBLE / recurrence/scan syntax, i64 outputs</t>
        </is>
      </c>
      <c r="AB105" s="14" t="inlineStr">
        <is>
          <t>yes</t>
        </is>
      </c>
    </row>
    <row r="106">
      <c r="A106" s="14" t="inlineStr">
        <is>
          <t>scan</t>
        </is>
      </c>
      <c r="B106" s="14" t="inlineStr">
        <is>
          <t>scan</t>
        </is>
      </c>
      <c r="C106" s="14" t="inlineStr">
        <is>
          <t>s</t>
        </is>
      </c>
      <c r="D106" s="14" t="inlineStr">
        <is>
          <t>ramp</t>
        </is>
      </c>
      <c r="E106" s="14" t="inlineStr">
        <is>
          <t>256,0</t>
        </is>
      </c>
      <c r="F106" s="5" t="n">
        <v>256</v>
      </c>
      <c r="G106" s="15" t="n">
        <v>87</v>
      </c>
      <c r="H106" s="15" t="n">
        <v>171</v>
      </c>
      <c r="I106" s="17" t="n"/>
      <c r="J106" s="17" t="n"/>
      <c r="K106" s="17" t="n"/>
      <c r="L106" s="7">
        <f>IF(AND(ISNUMBER(I106),ISNUMBER(G106)),I106/G106,"")</f>
        <v/>
      </c>
      <c r="M106" s="7">
        <f>IF(AND(ISNUMBER(I106),ISNUMBER(H106)),I106/H106,"")</f>
        <v/>
      </c>
      <c r="N106" s="7">
        <f>IF(AND(ISNUMBER(H106),ISNUMBER(G106)),H106/G106,"")</f>
        <v/>
      </c>
      <c r="O106" s="9">
        <f>IF(AND(ISNUMBER(J106),ISNUMBER(G106)),J106/G106,"")</f>
        <v/>
      </c>
      <c r="P106" s="14">
        <f>IF(L106="","n/a",IF(L106&lt;0.95,"Lead",IF(L106&gt;1.05,"Lag","Parity")))</f>
        <v/>
      </c>
      <c r="Q106" s="14">
        <f>IF(M106="","n/a",IF(M106&lt;0.95,"Lead",IF(M106&gt;1.05,"Lag","Parity")))</f>
        <v/>
      </c>
      <c r="R106" s="14" t="inlineStr">
        <is>
          <t>unsupported</t>
        </is>
      </c>
      <c r="S106" s="14" t="inlineStr">
        <is>
          <t>unsupported</t>
        </is>
      </c>
      <c r="T106" s="14" t="n"/>
      <c r="U106" s="8" t="n"/>
      <c r="V106" s="8" t="n"/>
      <c r="W106" s="10" t="n"/>
      <c r="X106" s="10" t="n"/>
      <c r="Y106" s="10" t="n"/>
      <c r="Z106" s="10" t="n"/>
      <c r="AA106" s="6" t="inlineStr">
        <is>
          <t>NOT_EXPRESSIBLE / recurrence/scan syntax, i64 outputs</t>
        </is>
      </c>
      <c r="AB106" s="14" t="inlineStr">
        <is>
          <t>yes</t>
        </is>
      </c>
    </row>
    <row r="107">
      <c r="A107" s="14" t="inlineStr">
        <is>
          <t>scan</t>
        </is>
      </c>
      <c r="B107" s="14" t="inlineStr">
        <is>
          <t>scan</t>
        </is>
      </c>
      <c r="C107" s="14" t="inlineStr">
        <is>
          <t>m</t>
        </is>
      </c>
      <c r="D107" s="14" t="inlineStr">
        <is>
          <t>hash</t>
        </is>
      </c>
      <c r="E107" s="14" t="inlineStr">
        <is>
          <t>65536,0</t>
        </is>
      </c>
      <c r="F107" s="5" t="n">
        <v>65536</v>
      </c>
      <c r="G107" s="15" t="n">
        <v>23606</v>
      </c>
      <c r="H107" s="15" t="n">
        <v>40275</v>
      </c>
      <c r="I107" s="17" t="n"/>
      <c r="J107" s="17" t="n"/>
      <c r="K107" s="17" t="n"/>
      <c r="L107" s="7">
        <f>IF(AND(ISNUMBER(I107),ISNUMBER(G107)),I107/G107,"")</f>
        <v/>
      </c>
      <c r="M107" s="7">
        <f>IF(AND(ISNUMBER(I107),ISNUMBER(H107)),I107/H107,"")</f>
        <v/>
      </c>
      <c r="N107" s="7">
        <f>IF(AND(ISNUMBER(H107),ISNUMBER(G107)),H107/G107,"")</f>
        <v/>
      </c>
      <c r="O107" s="9">
        <f>IF(AND(ISNUMBER(J107),ISNUMBER(G107)),J107/G107,"")</f>
        <v/>
      </c>
      <c r="P107" s="14">
        <f>IF(L107="","n/a",IF(L107&lt;0.95,"Lead",IF(L107&gt;1.05,"Lag","Parity")))</f>
        <v/>
      </c>
      <c r="Q107" s="14">
        <f>IF(M107="","n/a",IF(M107&lt;0.95,"Lead",IF(M107&gt;1.05,"Lag","Parity")))</f>
        <v/>
      </c>
      <c r="R107" s="14" t="inlineStr">
        <is>
          <t>unsupported</t>
        </is>
      </c>
      <c r="S107" s="14" t="inlineStr">
        <is>
          <t>unsupported</t>
        </is>
      </c>
      <c r="T107" s="14" t="n"/>
      <c r="U107" s="8" t="n"/>
      <c r="V107" s="8" t="n"/>
      <c r="W107" s="10" t="n"/>
      <c r="X107" s="10" t="n"/>
      <c r="Y107" s="10" t="n"/>
      <c r="Z107" s="10" t="n"/>
      <c r="AA107" s="6" t="inlineStr">
        <is>
          <t>NOT_EXPRESSIBLE / recurrence/scan syntax, i64 outputs</t>
        </is>
      </c>
      <c r="AB107" s="14" t="inlineStr">
        <is>
          <t>yes</t>
        </is>
      </c>
    </row>
    <row r="108">
      <c r="A108" s="14" t="inlineStr">
        <is>
          <t>scan</t>
        </is>
      </c>
      <c r="B108" s="14" t="inlineStr">
        <is>
          <t>scan</t>
        </is>
      </c>
      <c r="C108" s="14" t="inlineStr">
        <is>
          <t>m</t>
        </is>
      </c>
      <c r="D108" s="14" t="inlineStr">
        <is>
          <t>max</t>
        </is>
      </c>
      <c r="E108" s="14" t="inlineStr">
        <is>
          <t>65536,0</t>
        </is>
      </c>
      <c r="F108" s="5" t="n">
        <v>65536</v>
      </c>
      <c r="G108" s="15" t="n">
        <v>23400</v>
      </c>
      <c r="H108" s="15" t="n">
        <v>38991</v>
      </c>
      <c r="I108" s="17" t="n"/>
      <c r="J108" s="17" t="n"/>
      <c r="K108" s="17" t="n"/>
      <c r="L108" s="7">
        <f>IF(AND(ISNUMBER(I108),ISNUMBER(G108)),I108/G108,"")</f>
        <v/>
      </c>
      <c r="M108" s="7">
        <f>IF(AND(ISNUMBER(I108),ISNUMBER(H108)),I108/H108,"")</f>
        <v/>
      </c>
      <c r="N108" s="7">
        <f>IF(AND(ISNUMBER(H108),ISNUMBER(G108)),H108/G108,"")</f>
        <v/>
      </c>
      <c r="O108" s="9">
        <f>IF(AND(ISNUMBER(J108),ISNUMBER(G108)),J108/G108,"")</f>
        <v/>
      </c>
      <c r="P108" s="14">
        <f>IF(L108="","n/a",IF(L108&lt;0.95,"Lead",IF(L108&gt;1.05,"Lag","Parity")))</f>
        <v/>
      </c>
      <c r="Q108" s="14">
        <f>IF(M108="","n/a",IF(M108&lt;0.95,"Lead",IF(M108&gt;1.05,"Lag","Parity")))</f>
        <v/>
      </c>
      <c r="R108" s="14" t="inlineStr">
        <is>
          <t>unsupported</t>
        </is>
      </c>
      <c r="S108" s="14" t="inlineStr">
        <is>
          <t>unsupported</t>
        </is>
      </c>
      <c r="T108" s="14" t="n"/>
      <c r="U108" s="8" t="n"/>
      <c r="V108" s="8" t="n"/>
      <c r="W108" s="10" t="n"/>
      <c r="X108" s="10" t="n"/>
      <c r="Y108" s="10" t="n"/>
      <c r="Z108" s="10" t="n"/>
      <c r="AA108" s="6" t="inlineStr">
        <is>
          <t>NOT_EXPRESSIBLE / recurrence/scan syntax, i64 outputs</t>
        </is>
      </c>
      <c r="AB108" s="14" t="inlineStr">
        <is>
          <t>yes</t>
        </is>
      </c>
    </row>
    <row r="109">
      <c r="A109" s="14" t="inlineStr">
        <is>
          <t>scan</t>
        </is>
      </c>
      <c r="B109" s="14" t="inlineStr">
        <is>
          <t>scan</t>
        </is>
      </c>
      <c r="C109" s="14" t="inlineStr">
        <is>
          <t>m</t>
        </is>
      </c>
      <c r="D109" s="14" t="inlineStr">
        <is>
          <t>ramp</t>
        </is>
      </c>
      <c r="E109" s="14" t="inlineStr">
        <is>
          <t>65536,0</t>
        </is>
      </c>
      <c r="F109" s="5" t="n">
        <v>65536</v>
      </c>
      <c r="G109" s="15" t="n">
        <v>23323</v>
      </c>
      <c r="H109" s="15" t="n">
        <v>39049</v>
      </c>
      <c r="I109" s="17" t="n"/>
      <c r="J109" s="17" t="n"/>
      <c r="K109" s="17" t="n"/>
      <c r="L109" s="7">
        <f>IF(AND(ISNUMBER(I109),ISNUMBER(G109)),I109/G109,"")</f>
        <v/>
      </c>
      <c r="M109" s="7">
        <f>IF(AND(ISNUMBER(I109),ISNUMBER(H109)),I109/H109,"")</f>
        <v/>
      </c>
      <c r="N109" s="7">
        <f>IF(AND(ISNUMBER(H109),ISNUMBER(G109)),H109/G109,"")</f>
        <v/>
      </c>
      <c r="O109" s="9">
        <f>IF(AND(ISNUMBER(J109),ISNUMBER(G109)),J109/G109,"")</f>
        <v/>
      </c>
      <c r="P109" s="14">
        <f>IF(L109="","n/a",IF(L109&lt;0.95,"Lead",IF(L109&gt;1.05,"Lag","Parity")))</f>
        <v/>
      </c>
      <c r="Q109" s="14">
        <f>IF(M109="","n/a",IF(M109&lt;0.95,"Lead",IF(M109&gt;1.05,"Lag","Parity")))</f>
        <v/>
      </c>
      <c r="R109" s="14" t="inlineStr">
        <is>
          <t>unsupported</t>
        </is>
      </c>
      <c r="S109" s="14" t="inlineStr">
        <is>
          <t>unsupported</t>
        </is>
      </c>
      <c r="T109" s="14" t="n"/>
      <c r="U109" s="8" t="n"/>
      <c r="V109" s="8" t="n"/>
      <c r="W109" s="10" t="n"/>
      <c r="X109" s="10" t="n"/>
      <c r="Y109" s="10" t="n"/>
      <c r="Z109" s="10" t="n"/>
      <c r="AA109" s="6" t="inlineStr">
        <is>
          <t>NOT_EXPRESSIBLE / recurrence/scan syntax, i64 outputs</t>
        </is>
      </c>
      <c r="AB109" s="14" t="inlineStr">
        <is>
          <t>yes</t>
        </is>
      </c>
    </row>
    <row r="110">
      <c r="A110" s="14" t="inlineStr">
        <is>
          <t>scan</t>
        </is>
      </c>
      <c r="B110" s="14" t="inlineStr">
        <is>
          <t>scan</t>
        </is>
      </c>
      <c r="C110" s="14" t="inlineStr">
        <is>
          <t>l</t>
        </is>
      </c>
      <c r="D110" s="14" t="inlineStr">
        <is>
          <t>hash</t>
        </is>
      </c>
      <c r="E110" s="14" t="inlineStr">
        <is>
          <t>4194304,0</t>
        </is>
      </c>
      <c r="F110" s="5" t="n">
        <v>4194304</v>
      </c>
      <c r="G110" s="15" t="n">
        <v>4094200</v>
      </c>
      <c r="H110" s="15" t="n">
        <v>4289500</v>
      </c>
      <c r="I110" s="17" t="n"/>
      <c r="J110" s="17" t="n"/>
      <c r="K110" s="17" t="n"/>
      <c r="L110" s="7">
        <f>IF(AND(ISNUMBER(I110),ISNUMBER(G110)),I110/G110,"")</f>
        <v/>
      </c>
      <c r="M110" s="7">
        <f>IF(AND(ISNUMBER(I110),ISNUMBER(H110)),I110/H110,"")</f>
        <v/>
      </c>
      <c r="N110" s="7">
        <f>IF(AND(ISNUMBER(H110),ISNUMBER(G110)),H110/G110,"")</f>
        <v/>
      </c>
      <c r="O110" s="9">
        <f>IF(AND(ISNUMBER(J110),ISNUMBER(G110)),J110/G110,"")</f>
        <v/>
      </c>
      <c r="P110" s="14">
        <f>IF(L110="","n/a",IF(L110&lt;0.95,"Lead",IF(L110&gt;1.05,"Lag","Parity")))</f>
        <v/>
      </c>
      <c r="Q110" s="14">
        <f>IF(M110="","n/a",IF(M110&lt;0.95,"Lead",IF(M110&gt;1.05,"Lag","Parity")))</f>
        <v/>
      </c>
      <c r="R110" s="14" t="inlineStr">
        <is>
          <t>unsupported</t>
        </is>
      </c>
      <c r="S110" s="14" t="inlineStr">
        <is>
          <t>unsupported</t>
        </is>
      </c>
      <c r="T110" s="14" t="n"/>
      <c r="U110" s="8" t="n"/>
      <c r="V110" s="8" t="n"/>
      <c r="W110" s="10" t="n"/>
      <c r="X110" s="10" t="n"/>
      <c r="Y110" s="10" t="n"/>
      <c r="Z110" s="10" t="n"/>
      <c r="AA110" s="6" t="inlineStr">
        <is>
          <t>NOT_EXPRESSIBLE / recurrence/scan syntax, i64 outputs</t>
        </is>
      </c>
      <c r="AB110" s="14" t="inlineStr">
        <is>
          <t>yes</t>
        </is>
      </c>
    </row>
    <row r="111">
      <c r="A111" s="14" t="inlineStr">
        <is>
          <t>scan</t>
        </is>
      </c>
      <c r="B111" s="14" t="inlineStr">
        <is>
          <t>scan</t>
        </is>
      </c>
      <c r="C111" s="14" t="inlineStr">
        <is>
          <t>l</t>
        </is>
      </c>
      <c r="D111" s="14" t="inlineStr">
        <is>
          <t>max</t>
        </is>
      </c>
      <c r="E111" s="14" t="inlineStr">
        <is>
          <t>4194304,0</t>
        </is>
      </c>
      <c r="F111" s="5" t="n">
        <v>4194304</v>
      </c>
      <c r="G111" s="15" t="n">
        <v>3889900</v>
      </c>
      <c r="H111" s="15" t="n">
        <v>4388550</v>
      </c>
      <c r="I111" s="17" t="n"/>
      <c r="J111" s="17" t="n"/>
      <c r="K111" s="17" t="n"/>
      <c r="L111" s="7">
        <f>IF(AND(ISNUMBER(I111),ISNUMBER(G111)),I111/G111,"")</f>
        <v/>
      </c>
      <c r="M111" s="7">
        <f>IF(AND(ISNUMBER(I111),ISNUMBER(H111)),I111/H111,"")</f>
        <v/>
      </c>
      <c r="N111" s="7">
        <f>IF(AND(ISNUMBER(H111),ISNUMBER(G111)),H111/G111,"")</f>
        <v/>
      </c>
      <c r="O111" s="9">
        <f>IF(AND(ISNUMBER(J111),ISNUMBER(G111)),J111/G111,"")</f>
        <v/>
      </c>
      <c r="P111" s="14">
        <f>IF(L111="","n/a",IF(L111&lt;0.95,"Lead",IF(L111&gt;1.05,"Lag","Parity")))</f>
        <v/>
      </c>
      <c r="Q111" s="14">
        <f>IF(M111="","n/a",IF(M111&lt;0.95,"Lead",IF(M111&gt;1.05,"Lag","Parity")))</f>
        <v/>
      </c>
      <c r="R111" s="14" t="inlineStr">
        <is>
          <t>unsupported</t>
        </is>
      </c>
      <c r="S111" s="14" t="inlineStr">
        <is>
          <t>unsupported</t>
        </is>
      </c>
      <c r="T111" s="14" t="n"/>
      <c r="U111" s="8" t="n"/>
      <c r="V111" s="8" t="n"/>
      <c r="W111" s="10" t="n"/>
      <c r="X111" s="10" t="n"/>
      <c r="Y111" s="10" t="n"/>
      <c r="Z111" s="10" t="n"/>
      <c r="AA111" s="6" t="inlineStr">
        <is>
          <t>NOT_EXPRESSIBLE / recurrence/scan syntax, i64 outputs</t>
        </is>
      </c>
      <c r="AB111" s="14" t="inlineStr">
        <is>
          <t>yes</t>
        </is>
      </c>
    </row>
    <row r="112">
      <c r="A112" s="14" t="inlineStr">
        <is>
          <t>scan</t>
        </is>
      </c>
      <c r="B112" s="14" t="inlineStr">
        <is>
          <t>scan</t>
        </is>
      </c>
      <c r="C112" s="14" t="inlineStr">
        <is>
          <t>l</t>
        </is>
      </c>
      <c r="D112" s="14" t="inlineStr">
        <is>
          <t>ramp</t>
        </is>
      </c>
      <c r="E112" s="14" t="inlineStr">
        <is>
          <t>4194304,0</t>
        </is>
      </c>
      <c r="F112" s="5" t="n">
        <v>4194304</v>
      </c>
      <c r="G112" s="15" t="n">
        <v>4652800</v>
      </c>
      <c r="H112" s="15" t="n">
        <v>4187450</v>
      </c>
      <c r="I112" s="17" t="n"/>
      <c r="J112" s="17" t="n"/>
      <c r="K112" s="17" t="n"/>
      <c r="L112" s="7">
        <f>IF(AND(ISNUMBER(I112),ISNUMBER(G112)),I112/G112,"")</f>
        <v/>
      </c>
      <c r="M112" s="7">
        <f>IF(AND(ISNUMBER(I112),ISNUMBER(H112)),I112/H112,"")</f>
        <v/>
      </c>
      <c r="N112" s="7">
        <f>IF(AND(ISNUMBER(H112),ISNUMBER(G112)),H112/G112,"")</f>
        <v/>
      </c>
      <c r="O112" s="9">
        <f>IF(AND(ISNUMBER(J112),ISNUMBER(G112)),J112/G112,"")</f>
        <v/>
      </c>
      <c r="P112" s="14">
        <f>IF(L112="","n/a",IF(L112&lt;0.95,"Lead",IF(L112&gt;1.05,"Lag","Parity")))</f>
        <v/>
      </c>
      <c r="Q112" s="14">
        <f>IF(M112="","n/a",IF(M112&lt;0.95,"Lead",IF(M112&gt;1.05,"Lag","Parity")))</f>
        <v/>
      </c>
      <c r="R112" s="14" t="inlineStr">
        <is>
          <t>unsupported</t>
        </is>
      </c>
      <c r="S112" s="14" t="inlineStr">
        <is>
          <t>unsupported</t>
        </is>
      </c>
      <c r="T112" s="14" t="n"/>
      <c r="U112" s="8" t="n"/>
      <c r="V112" s="8" t="n"/>
      <c r="W112" s="10" t="n"/>
      <c r="X112" s="10" t="n"/>
      <c r="Y112" s="10" t="n"/>
      <c r="Z112" s="10" t="n"/>
      <c r="AA112" s="6" t="inlineStr">
        <is>
          <t>NOT_EXPRESSIBLE / recurrence/scan syntax, i64 outputs</t>
        </is>
      </c>
      <c r="AB112" s="14" t="inlineStr">
        <is>
          <t>yes</t>
        </is>
      </c>
    </row>
    <row r="113">
      <c r="A113" s="14" t="inlineStr">
        <is>
          <t>hist</t>
        </is>
      </c>
      <c r="B113" s="14" t="inlineStr">
        <is>
          <t>scatter</t>
        </is>
      </c>
      <c r="C113" s="14" t="inlineStr">
        <is>
          <t>s</t>
        </is>
      </c>
      <c r="D113" s="14" t="inlineStr">
        <is>
          <t>hash</t>
        </is>
      </c>
      <c r="E113" s="14" t="inlineStr">
        <is>
          <t>256,0</t>
        </is>
      </c>
      <c r="F113" s="5" t="n">
        <v>64</v>
      </c>
      <c r="G113" s="15" t="n">
        <v>120</v>
      </c>
      <c r="H113" s="15" t="n">
        <v>162</v>
      </c>
      <c r="I113" s="17" t="n"/>
      <c r="J113" s="17" t="n"/>
      <c r="K113" s="17" t="n"/>
      <c r="L113" s="7">
        <f>IF(AND(ISNUMBER(I113),ISNUMBER(G113)),I113/G113,"")</f>
        <v/>
      </c>
      <c r="M113" s="7">
        <f>IF(AND(ISNUMBER(I113),ISNUMBER(H113)),I113/H113,"")</f>
        <v/>
      </c>
      <c r="N113" s="7">
        <f>IF(AND(ISNUMBER(H113),ISNUMBER(G113)),H113/G113,"")</f>
        <v/>
      </c>
      <c r="O113" s="9">
        <f>IF(AND(ISNUMBER(J113),ISNUMBER(G113)),J113/G113,"")</f>
        <v/>
      </c>
      <c r="P113" s="14">
        <f>IF(L113="","n/a",IF(L113&lt;0.95,"Lead",IF(L113&gt;1.05,"Lag","Parity")))</f>
        <v/>
      </c>
      <c r="Q113" s="14">
        <f>IF(M113="","n/a",IF(M113&lt;0.95,"Lead",IF(M113&gt;1.05,"Lag","Parity")))</f>
        <v/>
      </c>
      <c r="R113" s="14" t="inlineStr">
        <is>
          <t>unsupported</t>
        </is>
      </c>
      <c r="S113" s="14" t="inlineStr">
        <is>
          <t>unsupported</t>
        </is>
      </c>
      <c r="T113" s="14" t="n"/>
      <c r="U113" s="8" t="n"/>
      <c r="V113" s="8" t="n"/>
      <c r="W113" s="10" t="n"/>
      <c r="X113" s="10" t="n"/>
      <c r="Y113" s="10" t="n"/>
      <c r="Z113" s="10" t="n"/>
      <c r="AA113" s="6" t="inlineStr">
        <is>
          <t>NOT_EXPRESSIBLE / data-dependent indexing, scatter/accumulate</t>
        </is>
      </c>
      <c r="AB113" s="14" t="inlineStr">
        <is>
          <t>yes</t>
        </is>
      </c>
    </row>
    <row r="114">
      <c r="A114" s="14" t="inlineStr">
        <is>
          <t>hist</t>
        </is>
      </c>
      <c r="B114" s="14" t="inlineStr">
        <is>
          <t>scatter</t>
        </is>
      </c>
      <c r="C114" s="14" t="inlineStr">
        <is>
          <t>s</t>
        </is>
      </c>
      <c r="D114" s="14" t="inlineStr">
        <is>
          <t>max</t>
        </is>
      </c>
      <c r="E114" s="14" t="inlineStr">
        <is>
          <t>256,0</t>
        </is>
      </c>
      <c r="F114" s="5" t="n">
        <v>64</v>
      </c>
      <c r="G114" s="15" t="n">
        <v>482</v>
      </c>
      <c r="H114" s="15" t="n">
        <v>513</v>
      </c>
      <c r="I114" s="17" t="n"/>
      <c r="J114" s="17" t="n"/>
      <c r="K114" s="17" t="n"/>
      <c r="L114" s="7">
        <f>IF(AND(ISNUMBER(I114),ISNUMBER(G114)),I114/G114,"")</f>
        <v/>
      </c>
      <c r="M114" s="7">
        <f>IF(AND(ISNUMBER(I114),ISNUMBER(H114)),I114/H114,"")</f>
        <v/>
      </c>
      <c r="N114" s="7">
        <f>IF(AND(ISNUMBER(H114),ISNUMBER(G114)),H114/G114,"")</f>
        <v/>
      </c>
      <c r="O114" s="9">
        <f>IF(AND(ISNUMBER(J114),ISNUMBER(G114)),J114/G114,"")</f>
        <v/>
      </c>
      <c r="P114" s="14">
        <f>IF(L114="","n/a",IF(L114&lt;0.95,"Lead",IF(L114&gt;1.05,"Lag","Parity")))</f>
        <v/>
      </c>
      <c r="Q114" s="14">
        <f>IF(M114="","n/a",IF(M114&lt;0.95,"Lead",IF(M114&gt;1.05,"Lag","Parity")))</f>
        <v/>
      </c>
      <c r="R114" s="14" t="inlineStr">
        <is>
          <t>unsupported</t>
        </is>
      </c>
      <c r="S114" s="14" t="inlineStr">
        <is>
          <t>unsupported</t>
        </is>
      </c>
      <c r="T114" s="14" t="n"/>
      <c r="U114" s="8" t="n"/>
      <c r="V114" s="8" t="n"/>
      <c r="W114" s="10" t="n"/>
      <c r="X114" s="10" t="n"/>
      <c r="Y114" s="10" t="n"/>
      <c r="Z114" s="10" t="n"/>
      <c r="AA114" s="6" t="inlineStr">
        <is>
          <t>NOT_EXPRESSIBLE / data-dependent indexing, scatter/accumulate</t>
        </is>
      </c>
      <c r="AB114" s="14" t="inlineStr">
        <is>
          <t>yes</t>
        </is>
      </c>
    </row>
    <row r="115">
      <c r="A115" s="14" t="inlineStr">
        <is>
          <t>hist</t>
        </is>
      </c>
      <c r="B115" s="14" t="inlineStr">
        <is>
          <t>scatter</t>
        </is>
      </c>
      <c r="C115" s="14" t="inlineStr">
        <is>
          <t>s</t>
        </is>
      </c>
      <c r="D115" s="14" t="inlineStr">
        <is>
          <t>ramp</t>
        </is>
      </c>
      <c r="E115" s="14" t="inlineStr">
        <is>
          <t>256,0</t>
        </is>
      </c>
      <c r="F115" s="5" t="n">
        <v>64</v>
      </c>
      <c r="G115" s="15" t="n">
        <v>236</v>
      </c>
      <c r="H115" s="15" t="n">
        <v>307</v>
      </c>
      <c r="I115" s="17" t="n"/>
      <c r="J115" s="17" t="n"/>
      <c r="K115" s="17" t="n"/>
      <c r="L115" s="7">
        <f>IF(AND(ISNUMBER(I115),ISNUMBER(G115)),I115/G115,"")</f>
        <v/>
      </c>
      <c r="M115" s="7">
        <f>IF(AND(ISNUMBER(I115),ISNUMBER(H115)),I115/H115,"")</f>
        <v/>
      </c>
      <c r="N115" s="7">
        <f>IF(AND(ISNUMBER(H115),ISNUMBER(G115)),H115/G115,"")</f>
        <v/>
      </c>
      <c r="O115" s="9">
        <f>IF(AND(ISNUMBER(J115),ISNUMBER(G115)),J115/G115,"")</f>
        <v/>
      </c>
      <c r="P115" s="14">
        <f>IF(L115="","n/a",IF(L115&lt;0.95,"Lead",IF(L115&gt;1.05,"Lag","Parity")))</f>
        <v/>
      </c>
      <c r="Q115" s="14">
        <f>IF(M115="","n/a",IF(M115&lt;0.95,"Lead",IF(M115&gt;1.05,"Lag","Parity")))</f>
        <v/>
      </c>
      <c r="R115" s="14" t="inlineStr">
        <is>
          <t>unsupported</t>
        </is>
      </c>
      <c r="S115" s="14" t="inlineStr">
        <is>
          <t>unsupported</t>
        </is>
      </c>
      <c r="T115" s="14" t="n"/>
      <c r="U115" s="8" t="n"/>
      <c r="V115" s="8" t="n"/>
      <c r="W115" s="10" t="n"/>
      <c r="X115" s="10" t="n"/>
      <c r="Y115" s="10" t="n"/>
      <c r="Z115" s="10" t="n"/>
      <c r="AA115" s="6" t="inlineStr">
        <is>
          <t>NOT_EXPRESSIBLE / data-dependent indexing, scatter/accumulate</t>
        </is>
      </c>
      <c r="AB115" s="14" t="inlineStr">
        <is>
          <t>yes</t>
        </is>
      </c>
    </row>
    <row r="116">
      <c r="A116" s="14" t="inlineStr">
        <is>
          <t>hist</t>
        </is>
      </c>
      <c r="B116" s="14" t="inlineStr">
        <is>
          <t>scatter</t>
        </is>
      </c>
      <c r="C116" s="14" t="inlineStr">
        <is>
          <t>m</t>
        </is>
      </c>
      <c r="D116" s="14" t="inlineStr">
        <is>
          <t>hash</t>
        </is>
      </c>
      <c r="E116" s="14" t="inlineStr">
        <is>
          <t>65536,0</t>
        </is>
      </c>
      <c r="F116" s="5" t="n">
        <v>64</v>
      </c>
      <c r="G116" s="15" t="n">
        <v>27903</v>
      </c>
      <c r="H116" s="15" t="n">
        <v>37150</v>
      </c>
      <c r="I116" s="17" t="n"/>
      <c r="J116" s="17" t="n"/>
      <c r="K116" s="17" t="n"/>
      <c r="L116" s="7">
        <f>IF(AND(ISNUMBER(I116),ISNUMBER(G116)),I116/G116,"")</f>
        <v/>
      </c>
      <c r="M116" s="7">
        <f>IF(AND(ISNUMBER(I116),ISNUMBER(H116)),I116/H116,"")</f>
        <v/>
      </c>
      <c r="N116" s="7">
        <f>IF(AND(ISNUMBER(H116),ISNUMBER(G116)),H116/G116,"")</f>
        <v/>
      </c>
      <c r="O116" s="9">
        <f>IF(AND(ISNUMBER(J116),ISNUMBER(G116)),J116/G116,"")</f>
        <v/>
      </c>
      <c r="P116" s="14">
        <f>IF(L116="","n/a",IF(L116&lt;0.95,"Lead",IF(L116&gt;1.05,"Lag","Parity")))</f>
        <v/>
      </c>
      <c r="Q116" s="14">
        <f>IF(M116="","n/a",IF(M116&lt;0.95,"Lead",IF(M116&gt;1.05,"Lag","Parity")))</f>
        <v/>
      </c>
      <c r="R116" s="14" t="inlineStr">
        <is>
          <t>unsupported</t>
        </is>
      </c>
      <c r="S116" s="14" t="inlineStr">
        <is>
          <t>unsupported</t>
        </is>
      </c>
      <c r="T116" s="14" t="n"/>
      <c r="U116" s="8" t="n"/>
      <c r="V116" s="8" t="n"/>
      <c r="W116" s="10" t="n"/>
      <c r="X116" s="10" t="n"/>
      <c r="Y116" s="10" t="n"/>
      <c r="Z116" s="10" t="n"/>
      <c r="AA116" s="6" t="inlineStr">
        <is>
          <t>NOT_EXPRESSIBLE / data-dependent indexing, scatter/accumulate</t>
        </is>
      </c>
      <c r="AB116" s="14" t="inlineStr">
        <is>
          <t>yes</t>
        </is>
      </c>
    </row>
    <row r="117">
      <c r="A117" s="14" t="inlineStr">
        <is>
          <t>hist</t>
        </is>
      </c>
      <c r="B117" s="14" t="inlineStr">
        <is>
          <t>scatter</t>
        </is>
      </c>
      <c r="C117" s="14" t="inlineStr">
        <is>
          <t>m</t>
        </is>
      </c>
      <c r="D117" s="14" t="inlineStr">
        <is>
          <t>max</t>
        </is>
      </c>
      <c r="E117" s="14" t="inlineStr">
        <is>
          <t>65536,0</t>
        </is>
      </c>
      <c r="F117" s="5" t="n">
        <v>64</v>
      </c>
      <c r="G117" s="15" t="n">
        <v>128675</v>
      </c>
      <c r="H117" s="15" t="n">
        <v>128425</v>
      </c>
      <c r="I117" s="17" t="n"/>
      <c r="J117" s="17" t="n"/>
      <c r="K117" s="17" t="n"/>
      <c r="L117" s="7">
        <f>IF(AND(ISNUMBER(I117),ISNUMBER(G117)),I117/G117,"")</f>
        <v/>
      </c>
      <c r="M117" s="7">
        <f>IF(AND(ISNUMBER(I117),ISNUMBER(H117)),I117/H117,"")</f>
        <v/>
      </c>
      <c r="N117" s="7">
        <f>IF(AND(ISNUMBER(H117),ISNUMBER(G117)),H117/G117,"")</f>
        <v/>
      </c>
      <c r="O117" s="9">
        <f>IF(AND(ISNUMBER(J117),ISNUMBER(G117)),J117/G117,"")</f>
        <v/>
      </c>
      <c r="P117" s="14">
        <f>IF(L117="","n/a",IF(L117&lt;0.95,"Lead",IF(L117&gt;1.05,"Lag","Parity")))</f>
        <v/>
      </c>
      <c r="Q117" s="14">
        <f>IF(M117="","n/a",IF(M117&lt;0.95,"Lead",IF(M117&gt;1.05,"Lag","Parity")))</f>
        <v/>
      </c>
      <c r="R117" s="14" t="inlineStr">
        <is>
          <t>unsupported</t>
        </is>
      </c>
      <c r="S117" s="14" t="inlineStr">
        <is>
          <t>unsupported</t>
        </is>
      </c>
      <c r="T117" s="14" t="n"/>
      <c r="U117" s="8" t="n"/>
      <c r="V117" s="8" t="n"/>
      <c r="W117" s="10" t="n"/>
      <c r="X117" s="10" t="n"/>
      <c r="Y117" s="10" t="n"/>
      <c r="Z117" s="10" t="n"/>
      <c r="AA117" s="6" t="inlineStr">
        <is>
          <t>NOT_EXPRESSIBLE / data-dependent indexing, scatter/accumulate</t>
        </is>
      </c>
      <c r="AB117" s="14" t="inlineStr">
        <is>
          <t>yes</t>
        </is>
      </c>
    </row>
    <row r="118">
      <c r="A118" s="14" t="inlineStr">
        <is>
          <t>hist</t>
        </is>
      </c>
      <c r="B118" s="14" t="inlineStr">
        <is>
          <t>scatter</t>
        </is>
      </c>
      <c r="C118" s="14" t="inlineStr">
        <is>
          <t>m</t>
        </is>
      </c>
      <c r="D118" s="14" t="inlineStr">
        <is>
          <t>ramp</t>
        </is>
      </c>
      <c r="E118" s="14" t="inlineStr">
        <is>
          <t>65536,0</t>
        </is>
      </c>
      <c r="F118" s="5" t="n">
        <v>64</v>
      </c>
      <c r="G118" s="15" t="n">
        <v>144956</v>
      </c>
      <c r="H118" s="15" t="n">
        <v>73681</v>
      </c>
      <c r="I118" s="17" t="n"/>
      <c r="J118" s="17" t="n"/>
      <c r="K118" s="17" t="n"/>
      <c r="L118" s="7">
        <f>IF(AND(ISNUMBER(I118),ISNUMBER(G118)),I118/G118,"")</f>
        <v/>
      </c>
      <c r="M118" s="7">
        <f>IF(AND(ISNUMBER(I118),ISNUMBER(H118)),I118/H118,"")</f>
        <v/>
      </c>
      <c r="N118" s="7">
        <f>IF(AND(ISNUMBER(H118),ISNUMBER(G118)),H118/G118,"")</f>
        <v/>
      </c>
      <c r="O118" s="9">
        <f>IF(AND(ISNUMBER(J118),ISNUMBER(G118)),J118/G118,"")</f>
        <v/>
      </c>
      <c r="P118" s="14">
        <f>IF(L118="","n/a",IF(L118&lt;0.95,"Lead",IF(L118&gt;1.05,"Lag","Parity")))</f>
        <v/>
      </c>
      <c r="Q118" s="14">
        <f>IF(M118="","n/a",IF(M118&lt;0.95,"Lead",IF(M118&gt;1.05,"Lag","Parity")))</f>
        <v/>
      </c>
      <c r="R118" s="14" t="inlineStr">
        <is>
          <t>unsupported</t>
        </is>
      </c>
      <c r="S118" s="14" t="inlineStr">
        <is>
          <t>unsupported</t>
        </is>
      </c>
      <c r="T118" s="14" t="n"/>
      <c r="U118" s="8" t="n"/>
      <c r="V118" s="8" t="n"/>
      <c r="W118" s="10" t="n"/>
      <c r="X118" s="10" t="n"/>
      <c r="Y118" s="10" t="n"/>
      <c r="Z118" s="10" t="n"/>
      <c r="AA118" s="6" t="inlineStr">
        <is>
          <t>NOT_EXPRESSIBLE / data-dependent indexing, scatter/accumulate</t>
        </is>
      </c>
      <c r="AB118" s="14" t="inlineStr">
        <is>
          <t>yes</t>
        </is>
      </c>
    </row>
    <row r="119">
      <c r="A119" s="14" t="inlineStr">
        <is>
          <t>hist</t>
        </is>
      </c>
      <c r="B119" s="14" t="inlineStr">
        <is>
          <t>scatter</t>
        </is>
      </c>
      <c r="C119" s="14" t="inlineStr">
        <is>
          <t>l</t>
        </is>
      </c>
      <c r="D119" s="14" t="inlineStr">
        <is>
          <t>hash</t>
        </is>
      </c>
      <c r="E119" s="14" t="inlineStr">
        <is>
          <t>4194304,0</t>
        </is>
      </c>
      <c r="F119" s="5" t="n">
        <v>64</v>
      </c>
      <c r="G119" s="15" t="n">
        <v>8064900</v>
      </c>
      <c r="H119" s="15" t="n">
        <v>9977800</v>
      </c>
      <c r="I119" s="17" t="n"/>
      <c r="J119" s="17" t="n"/>
      <c r="K119" s="17" t="n"/>
      <c r="L119" s="7">
        <f>IF(AND(ISNUMBER(I119),ISNUMBER(G119)),I119/G119,"")</f>
        <v/>
      </c>
      <c r="M119" s="7">
        <f>IF(AND(ISNUMBER(I119),ISNUMBER(H119)),I119/H119,"")</f>
        <v/>
      </c>
      <c r="N119" s="7">
        <f>IF(AND(ISNUMBER(H119),ISNUMBER(G119)),H119/G119,"")</f>
        <v/>
      </c>
      <c r="O119" s="9">
        <f>IF(AND(ISNUMBER(J119),ISNUMBER(G119)),J119/G119,"")</f>
        <v/>
      </c>
      <c r="P119" s="14">
        <f>IF(L119="","n/a",IF(L119&lt;0.95,"Lead",IF(L119&gt;1.05,"Lag","Parity")))</f>
        <v/>
      </c>
      <c r="Q119" s="14">
        <f>IF(M119="","n/a",IF(M119&lt;0.95,"Lead",IF(M119&gt;1.05,"Lag","Parity")))</f>
        <v/>
      </c>
      <c r="R119" s="14" t="inlineStr">
        <is>
          <t>unsupported</t>
        </is>
      </c>
      <c r="S119" s="14" t="inlineStr">
        <is>
          <t>unsupported</t>
        </is>
      </c>
      <c r="T119" s="14" t="n"/>
      <c r="U119" s="8" t="n"/>
      <c r="V119" s="8" t="n"/>
      <c r="W119" s="10" t="n"/>
      <c r="X119" s="10" t="n"/>
      <c r="Y119" s="10" t="n"/>
      <c r="Z119" s="10" t="n"/>
      <c r="AA119" s="6" t="inlineStr">
        <is>
          <t>NOT_EXPRESSIBLE / data-dependent indexing, scatter/accumulate</t>
        </is>
      </c>
      <c r="AB119" s="14" t="inlineStr">
        <is>
          <t>yes</t>
        </is>
      </c>
    </row>
    <row r="120">
      <c r="A120" s="14" t="inlineStr">
        <is>
          <t>hist</t>
        </is>
      </c>
      <c r="B120" s="14" t="inlineStr">
        <is>
          <t>scatter</t>
        </is>
      </c>
      <c r="C120" s="14" t="inlineStr">
        <is>
          <t>l</t>
        </is>
      </c>
      <c r="D120" s="14" t="inlineStr">
        <is>
          <t>max</t>
        </is>
      </c>
      <c r="E120" s="14" t="inlineStr">
        <is>
          <t>4194304,0</t>
        </is>
      </c>
      <c r="F120" s="5" t="n">
        <v>64</v>
      </c>
      <c r="G120" s="15" t="n">
        <v>8632600</v>
      </c>
      <c r="H120" s="15" t="n">
        <v>10103650</v>
      </c>
      <c r="I120" s="17" t="n"/>
      <c r="J120" s="17" t="n"/>
      <c r="K120" s="17" t="n"/>
      <c r="L120" s="7">
        <f>IF(AND(ISNUMBER(I120),ISNUMBER(G120)),I120/G120,"")</f>
        <v/>
      </c>
      <c r="M120" s="7">
        <f>IF(AND(ISNUMBER(I120),ISNUMBER(H120)),I120/H120,"")</f>
        <v/>
      </c>
      <c r="N120" s="7">
        <f>IF(AND(ISNUMBER(H120),ISNUMBER(G120)),H120/G120,"")</f>
        <v/>
      </c>
      <c r="O120" s="9">
        <f>IF(AND(ISNUMBER(J120),ISNUMBER(G120)),J120/G120,"")</f>
        <v/>
      </c>
      <c r="P120" s="14">
        <f>IF(L120="","n/a",IF(L120&lt;0.95,"Lead",IF(L120&gt;1.05,"Lag","Parity")))</f>
        <v/>
      </c>
      <c r="Q120" s="14">
        <f>IF(M120="","n/a",IF(M120&lt;0.95,"Lead",IF(M120&gt;1.05,"Lag","Parity")))</f>
        <v/>
      </c>
      <c r="R120" s="14" t="inlineStr">
        <is>
          <t>unsupported</t>
        </is>
      </c>
      <c r="S120" s="14" t="inlineStr">
        <is>
          <t>unsupported</t>
        </is>
      </c>
      <c r="T120" s="14" t="n"/>
      <c r="U120" s="8" t="n"/>
      <c r="V120" s="8" t="n"/>
      <c r="W120" s="10" t="n"/>
      <c r="X120" s="10" t="n"/>
      <c r="Y120" s="10" t="n"/>
      <c r="Z120" s="10" t="n"/>
      <c r="AA120" s="6" t="inlineStr">
        <is>
          <t>NOT_EXPRESSIBLE / data-dependent indexing, scatter/accumulate</t>
        </is>
      </c>
      <c r="AB120" s="14" t="inlineStr">
        <is>
          <t>yes</t>
        </is>
      </c>
    </row>
    <row r="121">
      <c r="A121" s="14" t="inlineStr">
        <is>
          <t>hist</t>
        </is>
      </c>
      <c r="B121" s="14" t="inlineStr">
        <is>
          <t>scatter</t>
        </is>
      </c>
      <c r="C121" s="14" t="inlineStr">
        <is>
          <t>l</t>
        </is>
      </c>
      <c r="D121" s="14" t="inlineStr">
        <is>
          <t>ramp</t>
        </is>
      </c>
      <c r="E121" s="14" t="inlineStr">
        <is>
          <t>4194304,0</t>
        </is>
      </c>
      <c r="F121" s="5" t="n">
        <v>64</v>
      </c>
      <c r="G121" s="15" t="n">
        <v>5692300</v>
      </c>
      <c r="H121" s="15" t="n">
        <v>5816300</v>
      </c>
      <c r="I121" s="17" t="n"/>
      <c r="J121" s="17" t="n"/>
      <c r="K121" s="17" t="n"/>
      <c r="L121" s="7">
        <f>IF(AND(ISNUMBER(I121),ISNUMBER(G121)),I121/G121,"")</f>
        <v/>
      </c>
      <c r="M121" s="7">
        <f>IF(AND(ISNUMBER(I121),ISNUMBER(H121)),I121/H121,"")</f>
        <v/>
      </c>
      <c r="N121" s="7">
        <f>IF(AND(ISNUMBER(H121),ISNUMBER(G121)),H121/G121,"")</f>
        <v/>
      </c>
      <c r="O121" s="9">
        <f>IF(AND(ISNUMBER(J121),ISNUMBER(G121)),J121/G121,"")</f>
        <v/>
      </c>
      <c r="P121" s="14">
        <f>IF(L121="","n/a",IF(L121&lt;0.95,"Lead",IF(L121&gt;1.05,"Lag","Parity")))</f>
        <v/>
      </c>
      <c r="Q121" s="14">
        <f>IF(M121="","n/a",IF(M121&lt;0.95,"Lead",IF(M121&gt;1.05,"Lag","Parity")))</f>
        <v/>
      </c>
      <c r="R121" s="14" t="inlineStr">
        <is>
          <t>unsupported</t>
        </is>
      </c>
      <c r="S121" s="14" t="inlineStr">
        <is>
          <t>unsupported</t>
        </is>
      </c>
      <c r="T121" s="14" t="n"/>
      <c r="U121" s="8" t="n"/>
      <c r="V121" s="8" t="n"/>
      <c r="W121" s="10" t="n"/>
      <c r="X121" s="10" t="n"/>
      <c r="Y121" s="10" t="n"/>
      <c r="Z121" s="10" t="n"/>
      <c r="AA121" s="6" t="inlineStr">
        <is>
          <t>NOT_EXPRESSIBLE / data-dependent indexing, scatter/accumulate</t>
        </is>
      </c>
      <c r="AB121" s="14" t="inlineStr">
        <is>
          <t>yes</t>
        </is>
      </c>
    </row>
    <row r="122">
      <c r="A122" s="14" t="inlineStr">
        <is>
          <t>matmul</t>
        </is>
      </c>
      <c r="B122" s="14" t="inlineStr">
        <is>
          <t>dense-linear-algebra</t>
        </is>
      </c>
      <c r="C122" s="14" t="inlineStr">
        <is>
          <t>s</t>
        </is>
      </c>
      <c r="D122" s="14" t="inlineStr">
        <is>
          <t>hash</t>
        </is>
      </c>
      <c r="E122" s="14" t="inlineStr">
        <is>
          <t>8,0</t>
        </is>
      </c>
      <c r="F122" s="5" t="n">
        <v>64</v>
      </c>
      <c r="G122" s="15" t="n">
        <v>346</v>
      </c>
      <c r="H122" s="15" t="n">
        <v>384</v>
      </c>
      <c r="I122" s="17" t="n"/>
      <c r="J122" s="17" t="n"/>
      <c r="K122" s="17" t="n"/>
      <c r="L122" s="7">
        <f>IF(AND(ISNUMBER(I122),ISNUMBER(G122)),I122/G122,"")</f>
        <v/>
      </c>
      <c r="M122" s="7">
        <f>IF(AND(ISNUMBER(I122),ISNUMBER(H122)),I122/H122,"")</f>
        <v/>
      </c>
      <c r="N122" s="7">
        <f>IF(AND(ISNUMBER(H122),ISNUMBER(G122)),H122/G122,"")</f>
        <v/>
      </c>
      <c r="O122" s="9">
        <f>IF(AND(ISNUMBER(J122),ISNUMBER(G122)),J122/G122,"")</f>
        <v/>
      </c>
      <c r="P122" s="14">
        <f>IF(L122="","n/a",IF(L122&lt;0.95,"Lead",IF(L122&gt;1.05,"Lag","Parity")))</f>
        <v/>
      </c>
      <c r="Q122" s="14">
        <f>IF(M122="","n/a",IF(M122&lt;0.95,"Lead",IF(M122&gt;1.05,"Lag","Parity")))</f>
        <v/>
      </c>
      <c r="R122" s="14" t="inlineStr">
        <is>
          <t>unsupported</t>
        </is>
      </c>
      <c r="S122" s="14" t="inlineStr">
        <is>
          <t>unsupported</t>
        </is>
      </c>
      <c r="T122" s="14" t="n"/>
      <c r="U122" s="8" t="n"/>
      <c r="V122" s="8" t="n"/>
      <c r="W122" s="10" t="n"/>
      <c r="X122" s="10" t="n"/>
      <c r="Y122" s="10" t="n"/>
      <c r="Z122" s="10" t="n"/>
      <c r="AA122" s="6" t="inlineStr">
        <is>
          <t>NOT_EXPRESSIBLE / reduction syntax, multiple inputs, tiling plans</t>
        </is>
      </c>
      <c r="AB122" s="14" t="inlineStr">
        <is>
          <t>yes</t>
        </is>
      </c>
    </row>
    <row r="123">
      <c r="A123" s="14" t="inlineStr">
        <is>
          <t>matmul</t>
        </is>
      </c>
      <c r="B123" s="14" t="inlineStr">
        <is>
          <t>dense-linear-algebra</t>
        </is>
      </c>
      <c r="C123" s="14" t="inlineStr">
        <is>
          <t>s</t>
        </is>
      </c>
      <c r="D123" s="14" t="inlineStr">
        <is>
          <t>max</t>
        </is>
      </c>
      <c r="E123" s="14" t="inlineStr">
        <is>
          <t>8,0</t>
        </is>
      </c>
      <c r="F123" s="5" t="n">
        <v>64</v>
      </c>
      <c r="G123" s="15" t="n">
        <v>447</v>
      </c>
      <c r="H123" s="15" t="n">
        <v>498</v>
      </c>
      <c r="I123" s="17" t="n"/>
      <c r="J123" s="17" t="n"/>
      <c r="K123" s="17" t="n"/>
      <c r="L123" s="7">
        <f>IF(AND(ISNUMBER(I123),ISNUMBER(G123)),I123/G123,"")</f>
        <v/>
      </c>
      <c r="M123" s="7">
        <f>IF(AND(ISNUMBER(I123),ISNUMBER(H123)),I123/H123,"")</f>
        <v/>
      </c>
      <c r="N123" s="7">
        <f>IF(AND(ISNUMBER(H123),ISNUMBER(G123)),H123/G123,"")</f>
        <v/>
      </c>
      <c r="O123" s="9">
        <f>IF(AND(ISNUMBER(J123),ISNUMBER(G123)),J123/G123,"")</f>
        <v/>
      </c>
      <c r="P123" s="14">
        <f>IF(L123="","n/a",IF(L123&lt;0.95,"Lead",IF(L123&gt;1.05,"Lag","Parity")))</f>
        <v/>
      </c>
      <c r="Q123" s="14">
        <f>IF(M123="","n/a",IF(M123&lt;0.95,"Lead",IF(M123&gt;1.05,"Lag","Parity")))</f>
        <v/>
      </c>
      <c r="R123" s="14" t="inlineStr">
        <is>
          <t>unsupported</t>
        </is>
      </c>
      <c r="S123" s="14" t="inlineStr">
        <is>
          <t>unsupported</t>
        </is>
      </c>
      <c r="T123" s="14" t="n"/>
      <c r="U123" s="8" t="n"/>
      <c r="V123" s="8" t="n"/>
      <c r="W123" s="10" t="n"/>
      <c r="X123" s="10" t="n"/>
      <c r="Y123" s="10" t="n"/>
      <c r="Z123" s="10" t="n"/>
      <c r="AA123" s="6" t="inlineStr">
        <is>
          <t>NOT_EXPRESSIBLE / reduction syntax, multiple inputs, tiling plans</t>
        </is>
      </c>
      <c r="AB123" s="14" t="inlineStr">
        <is>
          <t>yes</t>
        </is>
      </c>
    </row>
    <row r="124">
      <c r="A124" s="14" t="inlineStr">
        <is>
          <t>matmul</t>
        </is>
      </c>
      <c r="B124" s="14" t="inlineStr">
        <is>
          <t>dense-linear-algebra</t>
        </is>
      </c>
      <c r="C124" s="14" t="inlineStr">
        <is>
          <t>s</t>
        </is>
      </c>
      <c r="D124" s="14" t="inlineStr">
        <is>
          <t>ramp</t>
        </is>
      </c>
      <c r="E124" s="14" t="inlineStr">
        <is>
          <t>8,0</t>
        </is>
      </c>
      <c r="F124" s="5" t="n">
        <v>64</v>
      </c>
      <c r="G124" s="15" t="n">
        <v>502</v>
      </c>
      <c r="H124" s="15" t="n">
        <v>384</v>
      </c>
      <c r="I124" s="17" t="n"/>
      <c r="J124" s="17" t="n"/>
      <c r="K124" s="17" t="n"/>
      <c r="L124" s="7">
        <f>IF(AND(ISNUMBER(I124),ISNUMBER(G124)),I124/G124,"")</f>
        <v/>
      </c>
      <c r="M124" s="7">
        <f>IF(AND(ISNUMBER(I124),ISNUMBER(H124)),I124/H124,"")</f>
        <v/>
      </c>
      <c r="N124" s="7">
        <f>IF(AND(ISNUMBER(H124),ISNUMBER(G124)),H124/G124,"")</f>
        <v/>
      </c>
      <c r="O124" s="9">
        <f>IF(AND(ISNUMBER(J124),ISNUMBER(G124)),J124/G124,"")</f>
        <v/>
      </c>
      <c r="P124" s="14">
        <f>IF(L124="","n/a",IF(L124&lt;0.95,"Lead",IF(L124&gt;1.05,"Lag","Parity")))</f>
        <v/>
      </c>
      <c r="Q124" s="14">
        <f>IF(M124="","n/a",IF(M124&lt;0.95,"Lead",IF(M124&gt;1.05,"Lag","Parity")))</f>
        <v/>
      </c>
      <c r="R124" s="14" t="inlineStr">
        <is>
          <t>unsupported</t>
        </is>
      </c>
      <c r="S124" s="14" t="inlineStr">
        <is>
          <t>unsupported</t>
        </is>
      </c>
      <c r="T124" s="14" t="n"/>
      <c r="U124" s="8" t="n"/>
      <c r="V124" s="8" t="n"/>
      <c r="W124" s="10" t="n"/>
      <c r="X124" s="10" t="n"/>
      <c r="Y124" s="10" t="n"/>
      <c r="Z124" s="10" t="n"/>
      <c r="AA124" s="6" t="inlineStr">
        <is>
          <t>NOT_EXPRESSIBLE / reduction syntax, multiple inputs, tiling plans</t>
        </is>
      </c>
      <c r="AB124" s="14" t="inlineStr">
        <is>
          <t>yes</t>
        </is>
      </c>
    </row>
    <row r="125">
      <c r="A125" s="14" t="inlineStr">
        <is>
          <t>matmul</t>
        </is>
      </c>
      <c r="B125" s="14" t="inlineStr">
        <is>
          <t>dense-linear-algebra</t>
        </is>
      </c>
      <c r="C125" s="14" t="inlineStr">
        <is>
          <t>m</t>
        </is>
      </c>
      <c r="D125" s="14" t="inlineStr">
        <is>
          <t>hash</t>
        </is>
      </c>
      <c r="E125" s="14" t="inlineStr">
        <is>
          <t>64,0</t>
        </is>
      </c>
      <c r="F125" s="5" t="n">
        <v>4096</v>
      </c>
      <c r="G125" s="15" t="n">
        <v>155312</v>
      </c>
      <c r="H125" s="15" t="n">
        <v>163787</v>
      </c>
      <c r="I125" s="17" t="n"/>
      <c r="J125" s="17" t="n"/>
      <c r="K125" s="17" t="n"/>
      <c r="L125" s="7">
        <f>IF(AND(ISNUMBER(I125),ISNUMBER(G125)),I125/G125,"")</f>
        <v/>
      </c>
      <c r="M125" s="7">
        <f>IF(AND(ISNUMBER(I125),ISNUMBER(H125)),I125/H125,"")</f>
        <v/>
      </c>
      <c r="N125" s="7">
        <f>IF(AND(ISNUMBER(H125),ISNUMBER(G125)),H125/G125,"")</f>
        <v/>
      </c>
      <c r="O125" s="9">
        <f>IF(AND(ISNUMBER(J125),ISNUMBER(G125)),J125/G125,"")</f>
        <v/>
      </c>
      <c r="P125" s="14">
        <f>IF(L125="","n/a",IF(L125&lt;0.95,"Lead",IF(L125&gt;1.05,"Lag","Parity")))</f>
        <v/>
      </c>
      <c r="Q125" s="14">
        <f>IF(M125="","n/a",IF(M125&lt;0.95,"Lead",IF(M125&gt;1.05,"Lag","Parity")))</f>
        <v/>
      </c>
      <c r="R125" s="14" t="inlineStr">
        <is>
          <t>unsupported</t>
        </is>
      </c>
      <c r="S125" s="14" t="inlineStr">
        <is>
          <t>unsupported</t>
        </is>
      </c>
      <c r="T125" s="14" t="n"/>
      <c r="U125" s="8" t="n"/>
      <c r="V125" s="8" t="n"/>
      <c r="W125" s="10" t="n"/>
      <c r="X125" s="10" t="n"/>
      <c r="Y125" s="10" t="n"/>
      <c r="Z125" s="10" t="n"/>
      <c r="AA125" s="6" t="inlineStr">
        <is>
          <t>NOT_EXPRESSIBLE / reduction syntax, multiple inputs, tiling plans</t>
        </is>
      </c>
      <c r="AB125" s="14" t="inlineStr">
        <is>
          <t>yes</t>
        </is>
      </c>
    </row>
    <row r="126">
      <c r="A126" s="14" t="inlineStr">
        <is>
          <t>matmul</t>
        </is>
      </c>
      <c r="B126" s="14" t="inlineStr">
        <is>
          <t>dense-linear-algebra</t>
        </is>
      </c>
      <c r="C126" s="14" t="inlineStr">
        <is>
          <t>m</t>
        </is>
      </c>
      <c r="D126" s="14" t="inlineStr">
        <is>
          <t>max</t>
        </is>
      </c>
      <c r="E126" s="14" t="inlineStr">
        <is>
          <t>64,0</t>
        </is>
      </c>
      <c r="F126" s="5" t="n">
        <v>4096</v>
      </c>
      <c r="G126" s="15" t="n">
        <v>152075</v>
      </c>
      <c r="H126" s="15" t="n">
        <v>154987</v>
      </c>
      <c r="I126" s="17" t="n"/>
      <c r="J126" s="17" t="n"/>
      <c r="K126" s="17" t="n"/>
      <c r="L126" s="7">
        <f>IF(AND(ISNUMBER(I126),ISNUMBER(G126)),I126/G126,"")</f>
        <v/>
      </c>
      <c r="M126" s="7">
        <f>IF(AND(ISNUMBER(I126),ISNUMBER(H126)),I126/H126,"")</f>
        <v/>
      </c>
      <c r="N126" s="7">
        <f>IF(AND(ISNUMBER(H126),ISNUMBER(G126)),H126/G126,"")</f>
        <v/>
      </c>
      <c r="O126" s="9">
        <f>IF(AND(ISNUMBER(J126),ISNUMBER(G126)),J126/G126,"")</f>
        <v/>
      </c>
      <c r="P126" s="14">
        <f>IF(L126="","n/a",IF(L126&lt;0.95,"Lead",IF(L126&gt;1.05,"Lag","Parity")))</f>
        <v/>
      </c>
      <c r="Q126" s="14">
        <f>IF(M126="","n/a",IF(M126&lt;0.95,"Lead",IF(M126&gt;1.05,"Lag","Parity")))</f>
        <v/>
      </c>
      <c r="R126" s="14" t="inlineStr">
        <is>
          <t>unsupported</t>
        </is>
      </c>
      <c r="S126" s="14" t="inlineStr">
        <is>
          <t>unsupported</t>
        </is>
      </c>
      <c r="T126" s="14" t="n"/>
      <c r="U126" s="8" t="n"/>
      <c r="V126" s="8" t="n"/>
      <c r="W126" s="10" t="n"/>
      <c r="X126" s="10" t="n"/>
      <c r="Y126" s="10" t="n"/>
      <c r="Z126" s="10" t="n"/>
      <c r="AA126" s="6" t="inlineStr">
        <is>
          <t>NOT_EXPRESSIBLE / reduction syntax, multiple inputs, tiling plans</t>
        </is>
      </c>
      <c r="AB126" s="14" t="inlineStr">
        <is>
          <t>yes</t>
        </is>
      </c>
    </row>
    <row r="127">
      <c r="A127" s="14" t="inlineStr">
        <is>
          <t>matmul</t>
        </is>
      </c>
      <c r="B127" s="14" t="inlineStr">
        <is>
          <t>dense-linear-algebra</t>
        </is>
      </c>
      <c r="C127" s="14" t="inlineStr">
        <is>
          <t>m</t>
        </is>
      </c>
      <c r="D127" s="14" t="inlineStr">
        <is>
          <t>ramp</t>
        </is>
      </c>
      <c r="E127" s="14" t="inlineStr">
        <is>
          <t>64,0</t>
        </is>
      </c>
      <c r="F127" s="5" t="n">
        <v>4096</v>
      </c>
      <c r="G127" s="15" t="n">
        <v>162337</v>
      </c>
      <c r="H127" s="15" t="n">
        <v>161912</v>
      </c>
      <c r="I127" s="17" t="n"/>
      <c r="J127" s="17" t="n"/>
      <c r="K127" s="17" t="n"/>
      <c r="L127" s="7">
        <f>IF(AND(ISNUMBER(I127),ISNUMBER(G127)),I127/G127,"")</f>
        <v/>
      </c>
      <c r="M127" s="7">
        <f>IF(AND(ISNUMBER(I127),ISNUMBER(H127)),I127/H127,"")</f>
        <v/>
      </c>
      <c r="N127" s="7">
        <f>IF(AND(ISNUMBER(H127),ISNUMBER(G127)),H127/G127,"")</f>
        <v/>
      </c>
      <c r="O127" s="9">
        <f>IF(AND(ISNUMBER(J127),ISNUMBER(G127)),J127/G127,"")</f>
        <v/>
      </c>
      <c r="P127" s="14">
        <f>IF(L127="","n/a",IF(L127&lt;0.95,"Lead",IF(L127&gt;1.05,"Lag","Parity")))</f>
        <v/>
      </c>
      <c r="Q127" s="14">
        <f>IF(M127="","n/a",IF(M127&lt;0.95,"Lead",IF(M127&gt;1.05,"Lag","Parity")))</f>
        <v/>
      </c>
      <c r="R127" s="14" t="inlineStr">
        <is>
          <t>unsupported</t>
        </is>
      </c>
      <c r="S127" s="14" t="inlineStr">
        <is>
          <t>unsupported</t>
        </is>
      </c>
      <c r="T127" s="14" t="n"/>
      <c r="U127" s="8" t="n"/>
      <c r="V127" s="8" t="n"/>
      <c r="W127" s="10" t="n"/>
      <c r="X127" s="10" t="n"/>
      <c r="Y127" s="10" t="n"/>
      <c r="Z127" s="10" t="n"/>
      <c r="AA127" s="6" t="inlineStr">
        <is>
          <t>NOT_EXPRESSIBLE / reduction syntax, multiple inputs, tiling plans</t>
        </is>
      </c>
      <c r="AB127" s="14" t="inlineStr">
        <is>
          <t>yes</t>
        </is>
      </c>
    </row>
    <row r="128">
      <c r="A128" s="14" t="inlineStr">
        <is>
          <t>matmul</t>
        </is>
      </c>
      <c r="B128" s="14" t="inlineStr">
        <is>
          <t>dense-linear-algebra</t>
        </is>
      </c>
      <c r="C128" s="14" t="inlineStr">
        <is>
          <t>l</t>
        </is>
      </c>
      <c r="D128" s="14" t="inlineStr">
        <is>
          <t>hash</t>
        </is>
      </c>
      <c r="E128" s="14" t="inlineStr">
        <is>
          <t>256,0</t>
        </is>
      </c>
      <c r="F128" s="5" t="n">
        <v>65536</v>
      </c>
      <c r="G128" s="15" t="n">
        <v>10531200</v>
      </c>
      <c r="H128" s="15" t="n">
        <v>10504900</v>
      </c>
      <c r="I128" s="17" t="n"/>
      <c r="J128" s="17" t="n"/>
      <c r="K128" s="17" t="n"/>
      <c r="L128" s="7">
        <f>IF(AND(ISNUMBER(I128),ISNUMBER(G128)),I128/G128,"")</f>
        <v/>
      </c>
      <c r="M128" s="7">
        <f>IF(AND(ISNUMBER(I128),ISNUMBER(H128)),I128/H128,"")</f>
        <v/>
      </c>
      <c r="N128" s="7">
        <f>IF(AND(ISNUMBER(H128),ISNUMBER(G128)),H128/G128,"")</f>
        <v/>
      </c>
      <c r="O128" s="9">
        <f>IF(AND(ISNUMBER(J128),ISNUMBER(G128)),J128/G128,"")</f>
        <v/>
      </c>
      <c r="P128" s="14">
        <f>IF(L128="","n/a",IF(L128&lt;0.95,"Lead",IF(L128&gt;1.05,"Lag","Parity")))</f>
        <v/>
      </c>
      <c r="Q128" s="14">
        <f>IF(M128="","n/a",IF(M128&lt;0.95,"Lead",IF(M128&gt;1.05,"Lag","Parity")))</f>
        <v/>
      </c>
      <c r="R128" s="14" t="inlineStr">
        <is>
          <t>unsupported</t>
        </is>
      </c>
      <c r="S128" s="14" t="inlineStr">
        <is>
          <t>unsupported</t>
        </is>
      </c>
      <c r="T128" s="14" t="n"/>
      <c r="U128" s="8" t="n"/>
      <c r="V128" s="8" t="n"/>
      <c r="W128" s="10" t="n"/>
      <c r="X128" s="10" t="n"/>
      <c r="Y128" s="10" t="n"/>
      <c r="Z128" s="10" t="n"/>
      <c r="AA128" s="6" t="inlineStr">
        <is>
          <t>NOT_EXPRESSIBLE / reduction syntax, multiple inputs, tiling plans</t>
        </is>
      </c>
      <c r="AB128" s="14" t="inlineStr">
        <is>
          <t>yes</t>
        </is>
      </c>
    </row>
    <row r="129">
      <c r="A129" s="14" t="inlineStr">
        <is>
          <t>matmul</t>
        </is>
      </c>
      <c r="B129" s="14" t="inlineStr">
        <is>
          <t>dense-linear-algebra</t>
        </is>
      </c>
      <c r="C129" s="14" t="inlineStr">
        <is>
          <t>l</t>
        </is>
      </c>
      <c r="D129" s="14" t="inlineStr">
        <is>
          <t>max</t>
        </is>
      </c>
      <c r="E129" s="14" t="inlineStr">
        <is>
          <t>256,0</t>
        </is>
      </c>
      <c r="F129" s="5" t="n">
        <v>65536</v>
      </c>
      <c r="G129" s="15" t="n">
        <v>9638400</v>
      </c>
      <c r="H129" s="15" t="n">
        <v>10239500</v>
      </c>
      <c r="I129" s="17" t="n"/>
      <c r="J129" s="17" t="n"/>
      <c r="K129" s="17" t="n"/>
      <c r="L129" s="7">
        <f>IF(AND(ISNUMBER(I129),ISNUMBER(G129)),I129/G129,"")</f>
        <v/>
      </c>
      <c r="M129" s="7">
        <f>IF(AND(ISNUMBER(I129),ISNUMBER(H129)),I129/H129,"")</f>
        <v/>
      </c>
      <c r="N129" s="7">
        <f>IF(AND(ISNUMBER(H129),ISNUMBER(G129)),H129/G129,"")</f>
        <v/>
      </c>
      <c r="O129" s="9">
        <f>IF(AND(ISNUMBER(J129),ISNUMBER(G129)),J129/G129,"")</f>
        <v/>
      </c>
      <c r="P129" s="14">
        <f>IF(L129="","n/a",IF(L129&lt;0.95,"Lead",IF(L129&gt;1.05,"Lag","Parity")))</f>
        <v/>
      </c>
      <c r="Q129" s="14">
        <f>IF(M129="","n/a",IF(M129&lt;0.95,"Lead",IF(M129&gt;1.05,"Lag","Parity")))</f>
        <v/>
      </c>
      <c r="R129" s="14" t="inlineStr">
        <is>
          <t>unsupported</t>
        </is>
      </c>
      <c r="S129" s="14" t="inlineStr">
        <is>
          <t>unsupported</t>
        </is>
      </c>
      <c r="T129" s="14" t="n"/>
      <c r="U129" s="8" t="n"/>
      <c r="V129" s="8" t="n"/>
      <c r="W129" s="10" t="n"/>
      <c r="X129" s="10" t="n"/>
      <c r="Y129" s="10" t="n"/>
      <c r="Z129" s="10" t="n"/>
      <c r="AA129" s="6" t="inlineStr">
        <is>
          <t>NOT_EXPRESSIBLE / reduction syntax, multiple inputs, tiling plans</t>
        </is>
      </c>
      <c r="AB129" s="14" t="inlineStr">
        <is>
          <t>yes</t>
        </is>
      </c>
    </row>
    <row r="130">
      <c r="A130" s="14" t="inlineStr">
        <is>
          <t>matmul</t>
        </is>
      </c>
      <c r="B130" s="14" t="inlineStr">
        <is>
          <t>dense-linear-algebra</t>
        </is>
      </c>
      <c r="C130" s="14" t="inlineStr">
        <is>
          <t>l</t>
        </is>
      </c>
      <c r="D130" s="14" t="inlineStr">
        <is>
          <t>ramp</t>
        </is>
      </c>
      <c r="E130" s="14" t="inlineStr">
        <is>
          <t>256,0</t>
        </is>
      </c>
      <c r="F130" s="5" t="n">
        <v>65536</v>
      </c>
      <c r="G130" s="15" t="n">
        <v>9926350</v>
      </c>
      <c r="H130" s="15" t="n">
        <v>12600700</v>
      </c>
      <c r="I130" s="17" t="n"/>
      <c r="J130" s="17" t="n"/>
      <c r="K130" s="17" t="n"/>
      <c r="L130" s="7">
        <f>IF(AND(ISNUMBER(I130),ISNUMBER(G130)),I130/G130,"")</f>
        <v/>
      </c>
      <c r="M130" s="7">
        <f>IF(AND(ISNUMBER(I130),ISNUMBER(H130)),I130/H130,"")</f>
        <v/>
      </c>
      <c r="N130" s="7">
        <f>IF(AND(ISNUMBER(H130),ISNUMBER(G130)),H130/G130,"")</f>
        <v/>
      </c>
      <c r="O130" s="9">
        <f>IF(AND(ISNUMBER(J130),ISNUMBER(G130)),J130/G130,"")</f>
        <v/>
      </c>
      <c r="P130" s="14">
        <f>IF(L130="","n/a",IF(L130&lt;0.95,"Lead",IF(L130&gt;1.05,"Lag","Parity")))</f>
        <v/>
      </c>
      <c r="Q130" s="14">
        <f>IF(M130="","n/a",IF(M130&lt;0.95,"Lead",IF(M130&gt;1.05,"Lag","Parity")))</f>
        <v/>
      </c>
      <c r="R130" s="14" t="inlineStr">
        <is>
          <t>unsupported</t>
        </is>
      </c>
      <c r="S130" s="14" t="inlineStr">
        <is>
          <t>unsupported</t>
        </is>
      </c>
      <c r="T130" s="14" t="n"/>
      <c r="U130" s="8" t="n"/>
      <c r="V130" s="8" t="n"/>
      <c r="W130" s="10" t="n"/>
      <c r="X130" s="10" t="n"/>
      <c r="Y130" s="10" t="n"/>
      <c r="Z130" s="10" t="n"/>
      <c r="AA130" s="6" t="inlineStr">
        <is>
          <t>NOT_EXPRESSIBLE / reduction syntax, multiple inputs, tiling plans</t>
        </is>
      </c>
      <c r="AB130" s="14" t="inlineStr">
        <is>
          <t>yes</t>
        </is>
      </c>
    </row>
  </sheetData>
  <autoFilter ref="A4:AB130"/>
  <conditionalFormatting sqref="P5:P130">
    <cfRule type="cellIs" priority="1" operator="equal" dxfId="0">
      <formula>"Lead"</formula>
    </cfRule>
    <cfRule type="cellIs" priority="2" operator="equal" dxfId="1">
      <formula>"Lag"</formula>
    </cfRule>
    <cfRule type="cellIs" priority="3" operator="equal" dxfId="2">
      <formula>"Parity"</formula>
    </cfRule>
  </conditionalFormatting>
  <conditionalFormatting sqref="Q5:Q130">
    <cfRule type="cellIs" priority="4" operator="equal" dxfId="0">
      <formula>"Lead"</formula>
    </cfRule>
    <cfRule type="cellIs" priority="5" operator="equal" dxfId="1">
      <formula>"Lag"</formula>
    </cfRule>
    <cfRule type="cellIs" priority="6" operator="equal" dxfId="2">
      <formula>"Parity"</formula>
    </cfRule>
  </conditionalFormatting>
  <conditionalFormatting sqref="L5:M130">
    <cfRule type="colorScale" priority="7">
      <colorScale>
        <cfvo type="num" val="0.2"/>
        <cfvo type="num" val="1"/>
        <cfvo type="num" val="1.5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2" customWidth="1" min="4" max="4"/>
    <col width="9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Beryl native vs hand-written C under identical terms (sq2x2)</t>
        </is>
      </c>
    </row>
    <row r="2">
      <c r="A2" s="2" t="inlineStr">
        <is>
          <t>Hand C: same beryl_kernel ABI, compile-time shape, int32 types, timing harness and clang flags. Ratio below 1.00x = Beryl faster.</t>
        </is>
      </c>
    </row>
    <row r="4" ht="32" customHeight="1">
      <c r="A4" s="3" t="inlineStr">
        <is>
          <t>Pattern</t>
        </is>
      </c>
      <c r="B4" s="3" t="inlineStr">
        <is>
          <t>Cap (bytes)</t>
        </is>
      </c>
      <c r="C4" s="3" t="inlineStr">
        <is>
          <t>Objective</t>
        </is>
      </c>
      <c r="D4" s="3" t="inlineStr">
        <is>
          <t>Plan</t>
        </is>
      </c>
      <c r="E4" s="3" t="inlineStr">
        <is>
          <t>Mults</t>
        </is>
      </c>
      <c r="F4" s="3" t="inlineStr">
        <is>
          <t>Scratch B</t>
        </is>
      </c>
      <c r="G4" s="3" t="inlineStr">
        <is>
          <t>Beryl ns</t>
        </is>
      </c>
      <c r="H4" s="3" t="inlineStr">
        <is>
          <t>Hand C ns</t>
        </is>
      </c>
      <c r="I4" s="3" t="inlineStr">
        <is>
          <t>Beryl / hand C</t>
        </is>
      </c>
      <c r="J4" s="3" t="inlineStr">
        <is>
          <t>Verdict</t>
        </is>
      </c>
    </row>
    <row r="5">
      <c r="A5" s="14" t="inlineStr">
        <is>
          <t>hash</t>
        </is>
      </c>
      <c r="B5" s="5" t="n">
        <v>0</v>
      </c>
      <c r="C5" s="14" t="inlineStr">
        <is>
          <t>multiplication_ops</t>
        </is>
      </c>
      <c r="D5" s="14" t="inlineStr">
        <is>
          <t>inline-v1</t>
        </is>
      </c>
      <c r="E5" s="5" t="n">
        <v>900</v>
      </c>
      <c r="F5" s="5" t="n">
        <v>0</v>
      </c>
      <c r="G5" s="15" t="n">
        <v>281</v>
      </c>
      <c r="H5" s="15" t="n">
        <v>311</v>
      </c>
      <c r="I5" s="7">
        <f>IF(AND(ISNUMBER(G5),ISNUMBER(H5)),G5/H5,"")</f>
        <v/>
      </c>
      <c r="J5" s="14">
        <f>IF(I5="","n/a",IF(I5&lt;0.95,"Lead",IF(I5&gt;1.05,"Lag","Parity")))</f>
        <v/>
      </c>
    </row>
    <row r="6">
      <c r="A6" s="14" t="inlineStr">
        <is>
          <t>hash</t>
        </is>
      </c>
      <c r="B6" s="5" t="n">
        <v>16</v>
      </c>
      <c r="C6" s="14" t="inlineStr">
        <is>
          <t>multiplication_ops</t>
        </is>
      </c>
      <c r="D6" s="14" t="inlineStr">
        <is>
          <t>inline-v1</t>
        </is>
      </c>
      <c r="E6" s="5" t="n">
        <v>900</v>
      </c>
      <c r="F6" s="5" t="n">
        <v>0</v>
      </c>
      <c r="G6" s="15" t="n">
        <v>276</v>
      </c>
      <c r="H6" s="15" t="n">
        <v>312</v>
      </c>
      <c r="I6" s="7">
        <f>IF(AND(ISNUMBER(G6),ISNUMBER(H6)),G6/H6,"")</f>
        <v/>
      </c>
      <c r="J6" s="14">
        <f>IF(I6="","n/a",IF(I6&lt;0.95,"Lead",IF(I6&gt;1.05,"Lag","Parity")))</f>
        <v/>
      </c>
    </row>
    <row r="7">
      <c r="A7" s="14" t="inlineStr">
        <is>
          <t>hash</t>
        </is>
      </c>
      <c r="B7" s="5" t="n">
        <v>32</v>
      </c>
      <c r="C7" s="14" t="inlineStr">
        <is>
          <t>multiplication_ops</t>
        </is>
      </c>
      <c r="D7" s="14" t="inlineStr">
        <is>
          <t>inline-v1</t>
        </is>
      </c>
      <c r="E7" s="5" t="n">
        <v>900</v>
      </c>
      <c r="F7" s="5" t="n">
        <v>0</v>
      </c>
      <c r="G7" s="15" t="n">
        <v>275</v>
      </c>
      <c r="H7" s="15" t="n">
        <v>313</v>
      </c>
      <c r="I7" s="7">
        <f>IF(AND(ISNUMBER(G7),ISNUMBER(H7)),G7/H7,"")</f>
        <v/>
      </c>
      <c r="J7" s="14">
        <f>IF(I7="","n/a",IF(I7&lt;0.95,"Lead",IF(I7&gt;1.05,"Lag","Parity")))</f>
        <v/>
      </c>
    </row>
    <row r="8">
      <c r="A8" s="14" t="inlineStr">
        <is>
          <t>hash</t>
        </is>
      </c>
      <c r="B8" s="5" t="n">
        <v>64</v>
      </c>
      <c r="C8" s="14" t="inlineStr">
        <is>
          <t>multiplication_ops</t>
        </is>
      </c>
      <c r="D8" s="14" t="inlineStr">
        <is>
          <t>inline-v1</t>
        </is>
      </c>
      <c r="E8" s="5" t="n">
        <v>900</v>
      </c>
      <c r="F8" s="5" t="n">
        <v>0</v>
      </c>
      <c r="G8" s="15" t="n">
        <v>275</v>
      </c>
      <c r="H8" s="15" t="n">
        <v>310</v>
      </c>
      <c r="I8" s="7">
        <f>IF(AND(ISNUMBER(G8),ISNUMBER(H8)),G8/H8,"")</f>
        <v/>
      </c>
      <c r="J8" s="14">
        <f>IF(I8="","n/a",IF(I8&lt;0.95,"Lead",IF(I8&gt;1.05,"Lag","Parity")))</f>
        <v/>
      </c>
    </row>
    <row r="9">
      <c r="A9" s="14" t="inlineStr">
        <is>
          <t>hash</t>
        </is>
      </c>
      <c r="B9" s="5" t="n">
        <v>128</v>
      </c>
      <c r="C9" s="14" t="inlineStr">
        <is>
          <t>multiplication_ops</t>
        </is>
      </c>
      <c r="D9" s="14" t="inlineStr">
        <is>
          <t>rows2-v1</t>
        </is>
      </c>
      <c r="E9" s="5" t="n">
        <v>256</v>
      </c>
      <c r="F9" s="5" t="n">
        <v>128</v>
      </c>
      <c r="G9" s="15" t="n">
        <v>156</v>
      </c>
      <c r="H9" s="15" t="n">
        <v>311</v>
      </c>
      <c r="I9" s="7">
        <f>IF(AND(ISNUMBER(G9),ISNUMBER(H9)),G9/H9,"")</f>
        <v/>
      </c>
      <c r="J9" s="14">
        <f>IF(I9="","n/a",IF(I9&lt;0.95,"Lead",IF(I9&gt;1.05,"Lag","Parity")))</f>
        <v/>
      </c>
    </row>
    <row r="10">
      <c r="A10" s="14" t="inlineStr">
        <is>
          <t>hash</t>
        </is>
      </c>
      <c r="B10" s="5" t="n">
        <v>1024</v>
      </c>
      <c r="C10" s="14" t="inlineStr">
        <is>
          <t>multiplication_ops</t>
        </is>
      </c>
      <c r="D10" s="14" t="inlineStr">
        <is>
          <t>rows2-v1</t>
        </is>
      </c>
      <c r="E10" s="5" t="n">
        <v>256</v>
      </c>
      <c r="F10" s="5" t="n">
        <v>128</v>
      </c>
      <c r="G10" s="15" t="n">
        <v>157</v>
      </c>
      <c r="H10" s="15" t="n">
        <v>312</v>
      </c>
      <c r="I10" s="7">
        <f>IF(AND(ISNUMBER(G10),ISNUMBER(H10)),G10/H10,"")</f>
        <v/>
      </c>
      <c r="J10" s="14">
        <f>IF(I10="","n/a",IF(I10&lt;0.95,"Lead",IF(I10&gt;1.05,"Lag","Parity")))</f>
        <v/>
      </c>
    </row>
    <row r="11">
      <c r="A11" s="14" t="inlineStr">
        <is>
          <t>hash</t>
        </is>
      </c>
      <c r="B11" s="5" t="n">
        <v>16</v>
      </c>
      <c r="C11" s="14" t="inlineStr">
        <is>
          <t>plan_workspace_bytes</t>
        </is>
      </c>
      <c r="D11" s="14" t="inlineStr">
        <is>
          <t>inline-v1</t>
        </is>
      </c>
      <c r="E11" s="5" t="n">
        <v>900</v>
      </c>
      <c r="F11" s="5" t="n">
        <v>0</v>
      </c>
      <c r="G11" s="15" t="n">
        <v>275</v>
      </c>
      <c r="H11" s="15" t="n">
        <v>310</v>
      </c>
      <c r="I11" s="7">
        <f>IF(AND(ISNUMBER(G11),ISNUMBER(H11)),G11/H11,"")</f>
        <v/>
      </c>
      <c r="J11" s="14">
        <f>IF(I11="","n/a",IF(I11&lt;0.95,"Lead",IF(I11&gt;1.05,"Lag","Parity")))</f>
        <v/>
      </c>
    </row>
    <row r="12">
      <c r="A12" s="14" t="inlineStr">
        <is>
          <t>hash</t>
        </is>
      </c>
      <c r="B12" s="5" t="n">
        <v>32</v>
      </c>
      <c r="C12" s="14" t="inlineStr">
        <is>
          <t>plan_workspace_bytes</t>
        </is>
      </c>
      <c r="D12" s="14" t="inlineStr">
        <is>
          <t>inline-v1</t>
        </is>
      </c>
      <c r="E12" s="5" t="n">
        <v>900</v>
      </c>
      <c r="F12" s="5" t="n">
        <v>0</v>
      </c>
      <c r="G12" s="15" t="n">
        <v>276</v>
      </c>
      <c r="H12" s="15" t="n">
        <v>310</v>
      </c>
      <c r="I12" s="7">
        <f>IF(AND(ISNUMBER(G12),ISNUMBER(H12)),G12/H12,"")</f>
        <v/>
      </c>
      <c r="J12" s="14">
        <f>IF(I12="","n/a",IF(I12&lt;0.95,"Lead",IF(I12&gt;1.05,"Lag","Parity")))</f>
        <v/>
      </c>
    </row>
    <row r="13">
      <c r="A13" s="14" t="inlineStr">
        <is>
          <t>hash</t>
        </is>
      </c>
      <c r="B13" s="5" t="n">
        <v>64</v>
      </c>
      <c r="C13" s="14" t="inlineStr">
        <is>
          <t>plan_workspace_bytes</t>
        </is>
      </c>
      <c r="D13" s="14" t="inlineStr">
        <is>
          <t>inline-v1</t>
        </is>
      </c>
      <c r="E13" s="5" t="n">
        <v>900</v>
      </c>
      <c r="F13" s="5" t="n">
        <v>0</v>
      </c>
      <c r="G13" s="15" t="n">
        <v>280</v>
      </c>
      <c r="H13" s="15" t="n">
        <v>311</v>
      </c>
      <c r="I13" s="7">
        <f>IF(AND(ISNUMBER(G13),ISNUMBER(H13)),G13/H13,"")</f>
        <v/>
      </c>
      <c r="J13" s="14">
        <f>IF(I13="","n/a",IF(I13&lt;0.95,"Lead",IF(I13&gt;1.05,"Lag","Parity")))</f>
        <v/>
      </c>
    </row>
    <row r="14">
      <c r="A14" s="14" t="inlineStr">
        <is>
          <t>hash</t>
        </is>
      </c>
      <c r="B14" s="5" t="n">
        <v>128</v>
      </c>
      <c r="C14" s="14" t="inlineStr">
        <is>
          <t>plan_workspace_bytes</t>
        </is>
      </c>
      <c r="D14" s="14" t="inlineStr">
        <is>
          <t>inline-v1</t>
        </is>
      </c>
      <c r="E14" s="5" t="n">
        <v>900</v>
      </c>
      <c r="F14" s="5" t="n">
        <v>0</v>
      </c>
      <c r="G14" s="15" t="n">
        <v>277</v>
      </c>
      <c r="H14" s="15" t="n">
        <v>311</v>
      </c>
      <c r="I14" s="7">
        <f>IF(AND(ISNUMBER(G14),ISNUMBER(H14)),G14/H14,"")</f>
        <v/>
      </c>
      <c r="J14" s="14">
        <f>IF(I14="","n/a",IF(I14&lt;0.95,"Lead",IF(I14&gt;1.05,"Lag","Parity")))</f>
        <v/>
      </c>
    </row>
    <row r="15">
      <c r="A15" s="14" t="inlineStr">
        <is>
          <t>hash</t>
        </is>
      </c>
      <c r="B15" s="5" t="n">
        <v>1024</v>
      </c>
      <c r="C15" s="14" t="inlineStr">
        <is>
          <t>plan_workspace_bytes</t>
        </is>
      </c>
      <c r="D15" s="14" t="inlineStr">
        <is>
          <t>inline-v1</t>
        </is>
      </c>
      <c r="E15" s="5" t="n">
        <v>900</v>
      </c>
      <c r="F15" s="5" t="n">
        <v>0</v>
      </c>
      <c r="G15" s="15" t="n">
        <v>275</v>
      </c>
      <c r="H15" s="15" t="n">
        <v>311</v>
      </c>
      <c r="I15" s="7">
        <f>IF(AND(ISNUMBER(G15),ISNUMBER(H15)),G15/H15,"")</f>
        <v/>
      </c>
      <c r="J15" s="14">
        <f>IF(I15="","n/a",IF(I15&lt;0.95,"Lead",IF(I15&gt;1.05,"Lag","Parity")))</f>
        <v/>
      </c>
    </row>
    <row r="16">
      <c r="A16" s="14" t="inlineStr">
        <is>
          <t>ramp</t>
        </is>
      </c>
      <c r="B16" s="5" t="n">
        <v>0</v>
      </c>
      <c r="C16" s="14" t="inlineStr">
        <is>
          <t>multiplication_ops</t>
        </is>
      </c>
      <c r="D16" s="14" t="inlineStr">
        <is>
          <t>inline-v1</t>
        </is>
      </c>
      <c r="E16" s="5" t="n">
        <v>900</v>
      </c>
      <c r="F16" s="5" t="n">
        <v>0</v>
      </c>
      <c r="G16" s="15" t="n">
        <v>282</v>
      </c>
      <c r="H16" s="15" t="n">
        <v>310</v>
      </c>
      <c r="I16" s="7">
        <f>IF(AND(ISNUMBER(G16),ISNUMBER(H16)),G16/H16,"")</f>
        <v/>
      </c>
      <c r="J16" s="14">
        <f>IF(I16="","n/a",IF(I16&lt;0.95,"Lead",IF(I16&gt;1.05,"Lag","Parity")))</f>
        <v/>
      </c>
    </row>
    <row r="17">
      <c r="A17" s="14" t="inlineStr">
        <is>
          <t>ramp</t>
        </is>
      </c>
      <c r="B17" s="5" t="n">
        <v>16</v>
      </c>
      <c r="C17" s="14" t="inlineStr">
        <is>
          <t>multiplication_ops</t>
        </is>
      </c>
      <c r="D17" s="14" t="inlineStr">
        <is>
          <t>inline-v1</t>
        </is>
      </c>
      <c r="E17" s="5" t="n">
        <v>900</v>
      </c>
      <c r="F17" s="5" t="n">
        <v>0</v>
      </c>
      <c r="G17" s="15" t="n">
        <v>276</v>
      </c>
      <c r="H17" s="15" t="n">
        <v>311</v>
      </c>
      <c r="I17" s="7">
        <f>IF(AND(ISNUMBER(G17),ISNUMBER(H17)),G17/H17,"")</f>
        <v/>
      </c>
      <c r="J17" s="14">
        <f>IF(I17="","n/a",IF(I17&lt;0.95,"Lead",IF(I17&gt;1.05,"Lag","Parity")))</f>
        <v/>
      </c>
    </row>
    <row r="18">
      <c r="A18" s="14" t="inlineStr">
        <is>
          <t>ramp</t>
        </is>
      </c>
      <c r="B18" s="5" t="n">
        <v>32</v>
      </c>
      <c r="C18" s="14" t="inlineStr">
        <is>
          <t>multiplication_ops</t>
        </is>
      </c>
      <c r="D18" s="14" t="inlineStr">
        <is>
          <t>inline-v1</t>
        </is>
      </c>
      <c r="E18" s="5" t="n">
        <v>900</v>
      </c>
      <c r="F18" s="5" t="n">
        <v>0</v>
      </c>
      <c r="G18" s="15" t="n">
        <v>276</v>
      </c>
      <c r="H18" s="15" t="n">
        <v>313</v>
      </c>
      <c r="I18" s="7">
        <f>IF(AND(ISNUMBER(G18),ISNUMBER(H18)),G18/H18,"")</f>
        <v/>
      </c>
      <c r="J18" s="14">
        <f>IF(I18="","n/a",IF(I18&lt;0.95,"Lead",IF(I18&gt;1.05,"Lag","Parity")))</f>
        <v/>
      </c>
    </row>
    <row r="19">
      <c r="A19" s="14" t="inlineStr">
        <is>
          <t>ramp</t>
        </is>
      </c>
      <c r="B19" s="5" t="n">
        <v>64</v>
      </c>
      <c r="C19" s="14" t="inlineStr">
        <is>
          <t>multiplication_ops</t>
        </is>
      </c>
      <c r="D19" s="14" t="inlineStr">
        <is>
          <t>inline-v1</t>
        </is>
      </c>
      <c r="E19" s="5" t="n">
        <v>900</v>
      </c>
      <c r="F19" s="5" t="n">
        <v>0</v>
      </c>
      <c r="G19" s="15" t="n">
        <v>276</v>
      </c>
      <c r="H19" s="15" t="n">
        <v>312</v>
      </c>
      <c r="I19" s="7">
        <f>IF(AND(ISNUMBER(G19),ISNUMBER(H19)),G19/H19,"")</f>
        <v/>
      </c>
      <c r="J19" s="14">
        <f>IF(I19="","n/a",IF(I19&lt;0.95,"Lead",IF(I19&gt;1.05,"Lag","Parity")))</f>
        <v/>
      </c>
    </row>
    <row r="20">
      <c r="A20" s="14" t="inlineStr">
        <is>
          <t>ramp</t>
        </is>
      </c>
      <c r="B20" s="5" t="n">
        <v>128</v>
      </c>
      <c r="C20" s="14" t="inlineStr">
        <is>
          <t>multiplication_ops</t>
        </is>
      </c>
      <c r="D20" s="14" t="inlineStr">
        <is>
          <t>rows2-v1</t>
        </is>
      </c>
      <c r="E20" s="5" t="n">
        <v>256</v>
      </c>
      <c r="F20" s="5" t="n">
        <v>128</v>
      </c>
      <c r="G20" s="15" t="n">
        <v>158</v>
      </c>
      <c r="H20" s="15" t="n">
        <v>311</v>
      </c>
      <c r="I20" s="7">
        <f>IF(AND(ISNUMBER(G20),ISNUMBER(H20)),G20/H20,"")</f>
        <v/>
      </c>
      <c r="J20" s="14">
        <f>IF(I20="","n/a",IF(I20&lt;0.95,"Lead",IF(I20&gt;1.05,"Lag","Parity")))</f>
        <v/>
      </c>
    </row>
    <row r="21">
      <c r="A21" s="14" t="inlineStr">
        <is>
          <t>ramp</t>
        </is>
      </c>
      <c r="B21" s="5" t="n">
        <v>1024</v>
      </c>
      <c r="C21" s="14" t="inlineStr">
        <is>
          <t>multiplication_ops</t>
        </is>
      </c>
      <c r="D21" s="14" t="inlineStr">
        <is>
          <t>rows2-v1</t>
        </is>
      </c>
      <c r="E21" s="5" t="n">
        <v>256</v>
      </c>
      <c r="F21" s="5" t="n">
        <v>128</v>
      </c>
      <c r="G21" s="15" t="n">
        <v>158</v>
      </c>
      <c r="H21" s="17" t="n"/>
      <c r="I21" s="7">
        <f>IF(AND(ISNUMBER(G21),ISNUMBER(H21)),G21/H21,"")</f>
        <v/>
      </c>
      <c r="J21" s="14">
        <f>IF(I21="","n/a",IF(I21&lt;0.95,"Lead",IF(I21&gt;1.05,"Lag","Parity")))</f>
        <v/>
      </c>
    </row>
    <row r="22">
      <c r="A22" s="14" t="inlineStr">
        <is>
          <t>ramp</t>
        </is>
      </c>
      <c r="B22" s="5" t="n">
        <v>0</v>
      </c>
      <c r="C22" s="14" t="inlineStr">
        <is>
          <t>plan_workspace_bytes</t>
        </is>
      </c>
      <c r="D22" s="14" t="inlineStr">
        <is>
          <t>inline-v1</t>
        </is>
      </c>
      <c r="E22" s="5" t="n">
        <v>900</v>
      </c>
      <c r="F22" s="5" t="n">
        <v>0</v>
      </c>
      <c r="G22" s="15" t="n">
        <v>288</v>
      </c>
      <c r="H22" s="15" t="n">
        <v>310</v>
      </c>
      <c r="I22" s="7">
        <f>IF(AND(ISNUMBER(G22),ISNUMBER(H22)),G22/H22,"")</f>
        <v/>
      </c>
      <c r="J22" s="14">
        <f>IF(I22="","n/a",IF(I22&lt;0.95,"Lead",IF(I22&gt;1.05,"Lag","Parity")))</f>
        <v/>
      </c>
    </row>
    <row r="23">
      <c r="A23" s="14" t="inlineStr">
        <is>
          <t>ramp</t>
        </is>
      </c>
      <c r="B23" s="5" t="n">
        <v>16</v>
      </c>
      <c r="C23" s="14" t="inlineStr">
        <is>
          <t>plan_workspace_bytes</t>
        </is>
      </c>
      <c r="D23" s="14" t="inlineStr">
        <is>
          <t>inline-v1</t>
        </is>
      </c>
      <c r="E23" s="5" t="n">
        <v>900</v>
      </c>
      <c r="F23" s="5" t="n">
        <v>0</v>
      </c>
      <c r="G23" s="15" t="n">
        <v>279</v>
      </c>
      <c r="H23" s="15" t="n">
        <v>316</v>
      </c>
      <c r="I23" s="7">
        <f>IF(AND(ISNUMBER(G23),ISNUMBER(H23)),G23/H23,"")</f>
        <v/>
      </c>
      <c r="J23" s="14">
        <f>IF(I23="","n/a",IF(I23&lt;0.95,"Lead",IF(I23&gt;1.05,"Lag","Parity")))</f>
        <v/>
      </c>
    </row>
    <row r="24">
      <c r="A24" s="14" t="inlineStr">
        <is>
          <t>ramp</t>
        </is>
      </c>
      <c r="B24" s="5" t="n">
        <v>64</v>
      </c>
      <c r="C24" s="14" t="inlineStr">
        <is>
          <t>plan_workspace_bytes</t>
        </is>
      </c>
      <c r="D24" s="14" t="inlineStr">
        <is>
          <t>inline-v1</t>
        </is>
      </c>
      <c r="E24" s="5" t="n">
        <v>900</v>
      </c>
      <c r="F24" s="5" t="n">
        <v>0</v>
      </c>
      <c r="G24" s="15" t="n">
        <v>275</v>
      </c>
      <c r="H24" s="15" t="n">
        <v>311</v>
      </c>
      <c r="I24" s="7">
        <f>IF(AND(ISNUMBER(G24),ISNUMBER(H24)),G24/H24,"")</f>
        <v/>
      </c>
      <c r="J24" s="14">
        <f>IF(I24="","n/a",IF(I24&lt;0.95,"Lead",IF(I24&gt;1.05,"Lag","Parity")))</f>
        <v/>
      </c>
    </row>
    <row r="25">
      <c r="A25" s="14" t="inlineStr">
        <is>
          <t>ramp</t>
        </is>
      </c>
      <c r="B25" s="5" t="n">
        <v>1024</v>
      </c>
      <c r="C25" s="14" t="inlineStr">
        <is>
          <t>plan_workspace_bytes</t>
        </is>
      </c>
      <c r="D25" s="14" t="inlineStr">
        <is>
          <t>inline-v1</t>
        </is>
      </c>
      <c r="E25" s="5" t="n">
        <v>900</v>
      </c>
      <c r="F25" s="5" t="n">
        <v>0</v>
      </c>
      <c r="G25" s="15" t="n">
        <v>276</v>
      </c>
      <c r="H25" s="15" t="n">
        <v>310</v>
      </c>
      <c r="I25" s="7">
        <f>IF(AND(ISNUMBER(G25),ISNUMBER(H25)),G25/H25,"")</f>
        <v/>
      </c>
      <c r="J25" s="14">
        <f>IF(I25="","n/a",IF(I25&lt;0.95,"Lead",IF(I25&gt;1.05,"Lag","Parity")))</f>
        <v/>
      </c>
    </row>
    <row r="26">
      <c r="A26" s="14" t="inlineStr">
        <is>
          <t>max</t>
        </is>
      </c>
      <c r="B26" s="5" t="n">
        <v>0</v>
      </c>
      <c r="C26" s="14" t="inlineStr">
        <is>
          <t>multiplication_ops</t>
        </is>
      </c>
      <c r="D26" s="14" t="inlineStr">
        <is>
          <t>inline-v1</t>
        </is>
      </c>
      <c r="E26" s="5" t="n">
        <v>900</v>
      </c>
      <c r="F26" s="5" t="n">
        <v>0</v>
      </c>
      <c r="G26" s="15" t="n">
        <v>276</v>
      </c>
      <c r="H26" s="15" t="n">
        <v>311</v>
      </c>
      <c r="I26" s="7">
        <f>IF(AND(ISNUMBER(G26),ISNUMBER(H26)),G26/H26,"")</f>
        <v/>
      </c>
      <c r="J26" s="14">
        <f>IF(I26="","n/a",IF(I26&lt;0.95,"Lead",IF(I26&gt;1.05,"Lag","Parity")))</f>
        <v/>
      </c>
    </row>
    <row r="27">
      <c r="A27" s="14" t="inlineStr">
        <is>
          <t>max</t>
        </is>
      </c>
      <c r="B27" s="5" t="n">
        <v>16</v>
      </c>
      <c r="C27" s="14" t="inlineStr">
        <is>
          <t>multiplication_ops</t>
        </is>
      </c>
      <c r="D27" s="14" t="inlineStr">
        <is>
          <t>inline-v1</t>
        </is>
      </c>
      <c r="E27" s="5" t="n">
        <v>900</v>
      </c>
      <c r="F27" s="5" t="n">
        <v>0</v>
      </c>
      <c r="G27" s="15" t="n">
        <v>281</v>
      </c>
      <c r="H27" s="15" t="n">
        <v>321</v>
      </c>
      <c r="I27" s="7">
        <f>IF(AND(ISNUMBER(G27),ISNUMBER(H27)),G27/H27,"")</f>
        <v/>
      </c>
      <c r="J27" s="14">
        <f>IF(I27="","n/a",IF(I27&lt;0.95,"Lead",IF(I27&gt;1.05,"Lag","Parity")))</f>
        <v/>
      </c>
    </row>
    <row r="28">
      <c r="A28" s="14" t="inlineStr">
        <is>
          <t>max</t>
        </is>
      </c>
      <c r="B28" s="5" t="n">
        <v>32</v>
      </c>
      <c r="C28" s="14" t="inlineStr">
        <is>
          <t>multiplication_ops</t>
        </is>
      </c>
      <c r="D28" s="14" t="inlineStr">
        <is>
          <t>inline-v1</t>
        </is>
      </c>
      <c r="E28" s="5" t="n">
        <v>900</v>
      </c>
      <c r="F28" s="5" t="n">
        <v>0</v>
      </c>
      <c r="G28" s="15" t="n">
        <v>276</v>
      </c>
      <c r="H28" s="15" t="n">
        <v>312</v>
      </c>
      <c r="I28" s="7">
        <f>IF(AND(ISNUMBER(G28),ISNUMBER(H28)),G28/H28,"")</f>
        <v/>
      </c>
      <c r="J28" s="14">
        <f>IF(I28="","n/a",IF(I28&lt;0.95,"Lead",IF(I28&gt;1.05,"Lag","Parity")))</f>
        <v/>
      </c>
    </row>
    <row r="29">
      <c r="A29" s="14" t="inlineStr">
        <is>
          <t>max</t>
        </is>
      </c>
      <c r="B29" s="5" t="n">
        <v>64</v>
      </c>
      <c r="C29" s="14" t="inlineStr">
        <is>
          <t>multiplication_ops</t>
        </is>
      </c>
      <c r="D29" s="14" t="inlineStr">
        <is>
          <t>inline-v1</t>
        </is>
      </c>
      <c r="E29" s="5" t="n">
        <v>900</v>
      </c>
      <c r="F29" s="5" t="n">
        <v>0</v>
      </c>
      <c r="G29" s="15" t="n">
        <v>276</v>
      </c>
      <c r="H29" s="15" t="n">
        <v>311</v>
      </c>
      <c r="I29" s="7">
        <f>IF(AND(ISNUMBER(G29),ISNUMBER(H29)),G29/H29,"")</f>
        <v/>
      </c>
      <c r="J29" s="14">
        <f>IF(I29="","n/a",IF(I29&lt;0.95,"Lead",IF(I29&gt;1.05,"Lag","Parity")))</f>
        <v/>
      </c>
    </row>
    <row r="30">
      <c r="A30" s="14" t="inlineStr">
        <is>
          <t>max</t>
        </is>
      </c>
      <c r="B30" s="5" t="n">
        <v>128</v>
      </c>
      <c r="C30" s="14" t="inlineStr">
        <is>
          <t>multiplication_ops</t>
        </is>
      </c>
      <c r="D30" s="14" t="inlineStr">
        <is>
          <t>rows2-v1</t>
        </is>
      </c>
      <c r="E30" s="5" t="n">
        <v>256</v>
      </c>
      <c r="F30" s="5" t="n">
        <v>128</v>
      </c>
      <c r="G30" s="15" t="n">
        <v>158</v>
      </c>
      <c r="H30" s="15" t="n">
        <v>314</v>
      </c>
      <c r="I30" s="7">
        <f>IF(AND(ISNUMBER(G30),ISNUMBER(H30)),G30/H30,"")</f>
        <v/>
      </c>
      <c r="J30" s="14">
        <f>IF(I30="","n/a",IF(I30&lt;0.95,"Lead",IF(I30&gt;1.05,"Lag","Parity")))</f>
        <v/>
      </c>
    </row>
    <row r="31">
      <c r="A31" s="14" t="inlineStr">
        <is>
          <t>max</t>
        </is>
      </c>
      <c r="B31" s="5" t="n">
        <v>1024</v>
      </c>
      <c r="C31" s="14" t="inlineStr">
        <is>
          <t>multiplication_ops</t>
        </is>
      </c>
      <c r="D31" s="14" t="inlineStr">
        <is>
          <t>rows2-v1</t>
        </is>
      </c>
      <c r="E31" s="5" t="n">
        <v>256</v>
      </c>
      <c r="F31" s="5" t="n">
        <v>128</v>
      </c>
      <c r="G31" s="15" t="n">
        <v>157</v>
      </c>
      <c r="H31" s="15" t="n">
        <v>312</v>
      </c>
      <c r="I31" s="7">
        <f>IF(AND(ISNUMBER(G31),ISNUMBER(H31)),G31/H31,"")</f>
        <v/>
      </c>
      <c r="J31" s="14">
        <f>IF(I31="","n/a",IF(I31&lt;0.95,"Lead",IF(I31&gt;1.05,"Lag","Parity")))</f>
        <v/>
      </c>
    </row>
    <row r="32">
      <c r="A32" s="14" t="inlineStr">
        <is>
          <t>max</t>
        </is>
      </c>
      <c r="B32" s="5" t="n">
        <v>0</v>
      </c>
      <c r="C32" s="14" t="inlineStr">
        <is>
          <t>plan_workspace_bytes</t>
        </is>
      </c>
      <c r="D32" s="14" t="inlineStr">
        <is>
          <t>inline-v1</t>
        </is>
      </c>
      <c r="E32" s="5" t="n">
        <v>900</v>
      </c>
      <c r="F32" s="5" t="n">
        <v>0</v>
      </c>
      <c r="G32" s="15" t="n">
        <v>277</v>
      </c>
      <c r="H32" s="15" t="n">
        <v>310</v>
      </c>
      <c r="I32" s="7">
        <f>IF(AND(ISNUMBER(G32),ISNUMBER(H32)),G32/H32,"")</f>
        <v/>
      </c>
      <c r="J32" s="14">
        <f>IF(I32="","n/a",IF(I32&lt;0.95,"Lead",IF(I32&gt;1.05,"Lag","Parity")))</f>
        <v/>
      </c>
    </row>
    <row r="33">
      <c r="A33" s="14" t="inlineStr">
        <is>
          <t>max</t>
        </is>
      </c>
      <c r="B33" s="5" t="n">
        <v>16</v>
      </c>
      <c r="C33" s="14" t="inlineStr">
        <is>
          <t>plan_workspace_bytes</t>
        </is>
      </c>
      <c r="D33" s="14" t="inlineStr">
        <is>
          <t>inline-v1</t>
        </is>
      </c>
      <c r="E33" s="5" t="n">
        <v>900</v>
      </c>
      <c r="F33" s="5" t="n">
        <v>0</v>
      </c>
      <c r="G33" s="15" t="n">
        <v>275</v>
      </c>
      <c r="H33" s="15" t="n">
        <v>310</v>
      </c>
      <c r="I33" s="7">
        <f>IF(AND(ISNUMBER(G33),ISNUMBER(H33)),G33/H33,"")</f>
        <v/>
      </c>
      <c r="J33" s="14">
        <f>IF(I33="","n/a",IF(I33&lt;0.95,"Lead",IF(I33&gt;1.05,"Lag","Parity")))</f>
        <v/>
      </c>
    </row>
    <row r="34">
      <c r="A34" s="14" t="inlineStr">
        <is>
          <t>max</t>
        </is>
      </c>
      <c r="B34" s="5" t="n">
        <v>32</v>
      </c>
      <c r="C34" s="14" t="inlineStr">
        <is>
          <t>plan_workspace_bytes</t>
        </is>
      </c>
      <c r="D34" s="14" t="inlineStr">
        <is>
          <t>inline-v1</t>
        </is>
      </c>
      <c r="E34" s="5" t="n">
        <v>900</v>
      </c>
      <c r="F34" s="5" t="n">
        <v>0</v>
      </c>
      <c r="G34" s="15" t="n">
        <v>275</v>
      </c>
      <c r="H34" s="15" t="n">
        <v>317</v>
      </c>
      <c r="I34" s="7">
        <f>IF(AND(ISNUMBER(G34),ISNUMBER(H34)),G34/H34,"")</f>
        <v/>
      </c>
      <c r="J34" s="14">
        <f>IF(I34="","n/a",IF(I34&lt;0.95,"Lead",IF(I34&gt;1.05,"Lag","Parity")))</f>
        <v/>
      </c>
    </row>
    <row r="35">
      <c r="A35" s="14" t="inlineStr">
        <is>
          <t>max</t>
        </is>
      </c>
      <c r="B35" s="5" t="n">
        <v>128</v>
      </c>
      <c r="C35" s="14" t="inlineStr">
        <is>
          <t>plan_workspace_bytes</t>
        </is>
      </c>
      <c r="D35" s="14" t="inlineStr">
        <is>
          <t>inline-v1</t>
        </is>
      </c>
      <c r="E35" s="5" t="n">
        <v>900</v>
      </c>
      <c r="F35" s="5" t="n">
        <v>0</v>
      </c>
      <c r="G35" s="15" t="n">
        <v>421</v>
      </c>
      <c r="H35" s="15" t="n">
        <v>311</v>
      </c>
      <c r="I35" s="7">
        <f>IF(AND(ISNUMBER(G35),ISNUMBER(H35)),G35/H35,"")</f>
        <v/>
      </c>
      <c r="J35" s="14">
        <f>IF(I35="","n/a",IF(I35&lt;0.95,"Lead",IF(I35&gt;1.05,"Lag","Parity")))</f>
        <v/>
      </c>
    </row>
    <row r="36">
      <c r="A36" s="14" t="inlineStr">
        <is>
          <t>max</t>
        </is>
      </c>
      <c r="B36" s="5" t="n">
        <v>1024</v>
      </c>
      <c r="C36" s="14" t="inlineStr">
        <is>
          <t>plan_workspace_bytes</t>
        </is>
      </c>
      <c r="D36" s="14" t="inlineStr">
        <is>
          <t>inline-v1</t>
        </is>
      </c>
      <c r="E36" s="5" t="n">
        <v>900</v>
      </c>
      <c r="F36" s="5" t="n">
        <v>0</v>
      </c>
      <c r="G36" s="15" t="n">
        <v>279</v>
      </c>
      <c r="H36" s="15" t="n">
        <v>314</v>
      </c>
      <c r="I36" s="7">
        <f>IF(AND(ISNUMBER(G36),ISNUMBER(H36)),G36/H36,"")</f>
        <v/>
      </c>
      <c r="J36" s="14">
        <f>IF(I36="","n/a",IF(I36&lt;0.95,"Lead",IF(I36&gt;1.05,"Lag","Parity")))</f>
        <v/>
      </c>
    </row>
    <row r="38">
      <c r="A38" s="14" t="inlineStr">
        <is>
          <t>Average, inline plan</t>
        </is>
      </c>
      <c r="B38" s="14" t="inlineStr"/>
      <c r="C38" s="14" t="inlineStr"/>
      <c r="D38" s="14" t="inlineStr">
        <is>
          <t>inline-v1</t>
        </is>
      </c>
      <c r="E38" s="14" t="inlineStr"/>
      <c r="F38" s="14" t="inlineStr"/>
      <c r="G38" s="17">
        <f>AVERAGEIF(D5:D36,"inline-v1",G5:G36)</f>
        <v/>
      </c>
      <c r="H38" s="17">
        <f>AVERAGEIF(D5:D36,"inline-v1",H5:H36)</f>
        <v/>
      </c>
      <c r="I38" s="7">
        <f>IFERROR(G38/H38,"")</f>
        <v/>
      </c>
    </row>
    <row r="39">
      <c r="A39" s="14" t="inlineStr">
        <is>
          <t>Average, row-reuse plan</t>
        </is>
      </c>
      <c r="B39" s="14" t="inlineStr"/>
      <c r="C39" s="14" t="inlineStr"/>
      <c r="D39" s="14" t="inlineStr">
        <is>
          <t>rows2-v1</t>
        </is>
      </c>
      <c r="E39" s="14" t="inlineStr"/>
      <c r="F39" s="14" t="inlineStr"/>
      <c r="G39" s="17">
        <f>AVERAGEIF(D5:D36,"rows2-v1",G5:G36)</f>
        <v/>
      </c>
      <c r="H39" s="17">
        <f>AVERAGEIF(D5:D36,"rows2-v1",H5:H36)</f>
        <v/>
      </c>
      <c r="I39" s="7">
        <f>IFERROR(G39/H39,"")</f>
        <v/>
      </c>
    </row>
  </sheetData>
  <conditionalFormatting sqref="J5:J36">
    <cfRule type="cellIs" priority="1" operator="equal" dxfId="0">
      <formula>"Lead"</formula>
    </cfRule>
    <cfRule type="cellIs" priority="2" operator="equal" dxfId="1">
      <formula>"Lag"</formula>
    </cfRule>
    <cfRule type="cellIs" priority="3" operator="equal" dxfId="2">
      <formula>"Parity"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22" customWidth="1" min="4" max="4"/>
    <col width="11" customWidth="1" min="5" max="5"/>
    <col width="9" customWidth="1" min="6" max="6"/>
    <col width="10" customWidth="1" min="7" max="7"/>
    <col width="14" customWidth="1" min="8" max="8"/>
    <col width="16" customWidth="1" min="9" max="9"/>
    <col width="16" customWidth="1" min="10" max="10"/>
  </cols>
  <sheetData>
    <row r="1">
      <c r="A1" s="1" t="inlineStr">
        <is>
          <t>One program, different storage limits: the planner picks a different legal schedule</t>
        </is>
      </c>
    </row>
    <row r="2">
      <c r="A2" s="2" t="inlineStr">
        <is>
          <t>sq2x2 15x15. Every selected plan is independently checked; the result never changes, only the schedule.</t>
        </is>
      </c>
    </row>
    <row r="4" ht="32" customHeight="1">
      <c r="A4" s="3" t="inlineStr">
        <is>
          <t>Backend</t>
        </is>
      </c>
      <c r="B4" s="3" t="inlineStr">
        <is>
          <t>Pattern</t>
        </is>
      </c>
      <c r="C4" s="3" t="inlineStr">
        <is>
          <t>Cap (bytes)</t>
        </is>
      </c>
      <c r="D4" s="3" t="inlineStr">
        <is>
          <t>Objective</t>
        </is>
      </c>
      <c r="E4" s="3" t="inlineStr">
        <is>
          <t>Plan</t>
        </is>
      </c>
      <c r="F4" s="3" t="inlineStr">
        <is>
          <t>Mults</t>
        </is>
      </c>
      <c r="G4" s="3" t="inlineStr">
        <is>
          <t>Scratch B</t>
        </is>
      </c>
      <c r="H4" s="3" t="inlineStr">
        <is>
          <t>Time ns</t>
        </is>
      </c>
      <c r="I4" s="3" t="inlineStr">
        <is>
          <t>Interp. pipeline ms</t>
        </is>
      </c>
      <c r="J4" s="3" t="inlineStr">
        <is>
          <t>Mults saved vs inline</t>
        </is>
      </c>
    </row>
    <row r="5">
      <c r="A5" s="14" t="inlineStr">
        <is>
          <t>Beryl interpreter</t>
        </is>
      </c>
      <c r="B5" s="14" t="inlineStr">
        <is>
          <t>hash</t>
        </is>
      </c>
      <c r="C5" s="5" t="n">
        <v>0</v>
      </c>
      <c r="D5" s="14" t="inlineStr">
        <is>
          <t>multiplication_ops</t>
        </is>
      </c>
      <c r="E5" s="14" t="inlineStr">
        <is>
          <t>inline-v1</t>
        </is>
      </c>
      <c r="F5" s="5" t="n">
        <v>900</v>
      </c>
      <c r="G5" s="5" t="n">
        <v>0</v>
      </c>
      <c r="H5" s="15" t="n">
        <v>192201300</v>
      </c>
      <c r="I5" s="16" t="n">
        <v>557</v>
      </c>
      <c r="J5" s="18">
        <f>IFERROR(1-F5/900,"")</f>
        <v/>
      </c>
    </row>
    <row r="6">
      <c r="A6" s="14" t="inlineStr">
        <is>
          <t>Beryl native</t>
        </is>
      </c>
      <c r="B6" s="14" t="inlineStr">
        <is>
          <t>hash</t>
        </is>
      </c>
      <c r="C6" s="5" t="n">
        <v>0</v>
      </c>
      <c r="D6" s="14" t="inlineStr">
        <is>
          <t>multiplication_ops</t>
        </is>
      </c>
      <c r="E6" s="14" t="inlineStr">
        <is>
          <t>inline-v1</t>
        </is>
      </c>
      <c r="F6" s="5" t="n">
        <v>900</v>
      </c>
      <c r="G6" s="5" t="n">
        <v>0</v>
      </c>
      <c r="H6" s="15" t="n">
        <v>281</v>
      </c>
      <c r="I6" s="10" t="n"/>
      <c r="J6" s="18">
        <f>IFERROR(1-F6/900,"")</f>
        <v/>
      </c>
    </row>
    <row r="7">
      <c r="A7" s="14" t="inlineStr">
        <is>
          <t>Beryl interpreter</t>
        </is>
      </c>
      <c r="B7" s="14" t="inlineStr">
        <is>
          <t>hash</t>
        </is>
      </c>
      <c r="C7" s="5" t="n">
        <v>16</v>
      </c>
      <c r="D7" s="14" t="inlineStr">
        <is>
          <t>multiplication_ops</t>
        </is>
      </c>
      <c r="E7" s="14" t="inlineStr">
        <is>
          <t>inline-v1</t>
        </is>
      </c>
      <c r="F7" s="5" t="n">
        <v>900</v>
      </c>
      <c r="G7" s="5" t="n">
        <v>0</v>
      </c>
      <c r="H7" s="15" t="n">
        <v>88828900</v>
      </c>
      <c r="I7" s="16" t="n">
        <v>256</v>
      </c>
      <c r="J7" s="18">
        <f>IFERROR(1-F7/900,"")</f>
        <v/>
      </c>
    </row>
    <row r="8">
      <c r="A8" s="14" t="inlineStr">
        <is>
          <t>Beryl native</t>
        </is>
      </c>
      <c r="B8" s="14" t="inlineStr">
        <is>
          <t>hash</t>
        </is>
      </c>
      <c r="C8" s="5" t="n">
        <v>16</v>
      </c>
      <c r="D8" s="14" t="inlineStr">
        <is>
          <t>multiplication_ops</t>
        </is>
      </c>
      <c r="E8" s="14" t="inlineStr">
        <is>
          <t>inline-v1</t>
        </is>
      </c>
      <c r="F8" s="5" t="n">
        <v>900</v>
      </c>
      <c r="G8" s="5" t="n">
        <v>0</v>
      </c>
      <c r="H8" s="15" t="n">
        <v>276</v>
      </c>
      <c r="I8" s="10" t="n"/>
      <c r="J8" s="18">
        <f>IFERROR(1-F8/900,"")</f>
        <v/>
      </c>
    </row>
    <row r="9">
      <c r="A9" s="14" t="inlineStr">
        <is>
          <t>Beryl interpreter</t>
        </is>
      </c>
      <c r="B9" s="14" t="inlineStr">
        <is>
          <t>hash</t>
        </is>
      </c>
      <c r="C9" s="5" t="n">
        <v>32</v>
      </c>
      <c r="D9" s="14" t="inlineStr">
        <is>
          <t>multiplication_ops</t>
        </is>
      </c>
      <c r="E9" s="14" t="inlineStr">
        <is>
          <t>inline-v1</t>
        </is>
      </c>
      <c r="F9" s="5" t="n">
        <v>900</v>
      </c>
      <c r="G9" s="5" t="n">
        <v>0</v>
      </c>
      <c r="H9" s="15" t="n">
        <v>91415900</v>
      </c>
      <c r="I9" s="16" t="n">
        <v>254.9</v>
      </c>
      <c r="J9" s="18">
        <f>IFERROR(1-F9/900,"")</f>
        <v/>
      </c>
    </row>
    <row r="10">
      <c r="A10" s="14" t="inlineStr">
        <is>
          <t>Beryl native</t>
        </is>
      </c>
      <c r="B10" s="14" t="inlineStr">
        <is>
          <t>hash</t>
        </is>
      </c>
      <c r="C10" s="5" t="n">
        <v>32</v>
      </c>
      <c r="D10" s="14" t="inlineStr">
        <is>
          <t>multiplication_ops</t>
        </is>
      </c>
      <c r="E10" s="14" t="inlineStr">
        <is>
          <t>inline-v1</t>
        </is>
      </c>
      <c r="F10" s="5" t="n">
        <v>900</v>
      </c>
      <c r="G10" s="5" t="n">
        <v>0</v>
      </c>
      <c r="H10" s="15" t="n">
        <v>275</v>
      </c>
      <c r="I10" s="10" t="n"/>
      <c r="J10" s="18">
        <f>IFERROR(1-F10/900,"")</f>
        <v/>
      </c>
    </row>
    <row r="11">
      <c r="A11" s="14" t="inlineStr">
        <is>
          <t>Beryl interpreter</t>
        </is>
      </c>
      <c r="B11" s="14" t="inlineStr">
        <is>
          <t>hash</t>
        </is>
      </c>
      <c r="C11" s="5" t="n">
        <v>64</v>
      </c>
      <c r="D11" s="14" t="inlineStr">
        <is>
          <t>multiplication_ops</t>
        </is>
      </c>
      <c r="E11" s="14" t="inlineStr">
        <is>
          <t>inline-v1</t>
        </is>
      </c>
      <c r="F11" s="5" t="n">
        <v>900</v>
      </c>
      <c r="G11" s="5" t="n">
        <v>0</v>
      </c>
      <c r="H11" s="15" t="n">
        <v>94974700</v>
      </c>
      <c r="I11" s="16" t="n">
        <v>256.9</v>
      </c>
      <c r="J11" s="18">
        <f>IFERROR(1-F11/900,"")</f>
        <v/>
      </c>
    </row>
    <row r="12">
      <c r="A12" s="14" t="inlineStr">
        <is>
          <t>Beryl native</t>
        </is>
      </c>
      <c r="B12" s="14" t="inlineStr">
        <is>
          <t>hash</t>
        </is>
      </c>
      <c r="C12" s="5" t="n">
        <v>64</v>
      </c>
      <c r="D12" s="14" t="inlineStr">
        <is>
          <t>multiplication_ops</t>
        </is>
      </c>
      <c r="E12" s="14" t="inlineStr">
        <is>
          <t>inline-v1</t>
        </is>
      </c>
      <c r="F12" s="5" t="n">
        <v>900</v>
      </c>
      <c r="G12" s="5" t="n">
        <v>0</v>
      </c>
      <c r="H12" s="15" t="n">
        <v>275</v>
      </c>
      <c r="I12" s="10" t="n"/>
      <c r="J12" s="18">
        <f>IFERROR(1-F12/900,"")</f>
        <v/>
      </c>
    </row>
    <row r="13">
      <c r="A13" s="14" t="inlineStr">
        <is>
          <t>Beryl interpreter</t>
        </is>
      </c>
      <c r="B13" s="14" t="inlineStr">
        <is>
          <t>hash</t>
        </is>
      </c>
      <c r="C13" s="5" t="n">
        <v>128</v>
      </c>
      <c r="D13" s="14" t="inlineStr">
        <is>
          <t>multiplication_ops</t>
        </is>
      </c>
      <c r="E13" s="14" t="inlineStr">
        <is>
          <t>rows2-v1</t>
        </is>
      </c>
      <c r="F13" s="5" t="n">
        <v>256</v>
      </c>
      <c r="G13" s="5" t="n">
        <v>128</v>
      </c>
      <c r="H13" s="15" t="n">
        <v>76590700</v>
      </c>
      <c r="I13" s="16" t="n">
        <v>264.6</v>
      </c>
      <c r="J13" s="18">
        <f>IFERROR(1-F13/900,"")</f>
        <v/>
      </c>
    </row>
    <row r="14">
      <c r="A14" s="14" t="inlineStr">
        <is>
          <t>Beryl native</t>
        </is>
      </c>
      <c r="B14" s="14" t="inlineStr">
        <is>
          <t>hash</t>
        </is>
      </c>
      <c r="C14" s="5" t="n">
        <v>128</v>
      </c>
      <c r="D14" s="14" t="inlineStr">
        <is>
          <t>multiplication_ops</t>
        </is>
      </c>
      <c r="E14" s="14" t="inlineStr">
        <is>
          <t>rows2-v1</t>
        </is>
      </c>
      <c r="F14" s="5" t="n">
        <v>256</v>
      </c>
      <c r="G14" s="5" t="n">
        <v>128</v>
      </c>
      <c r="H14" s="15" t="n">
        <v>156</v>
      </c>
      <c r="I14" s="10" t="n"/>
      <c r="J14" s="18">
        <f>IFERROR(1-F14/900,"")</f>
        <v/>
      </c>
    </row>
    <row r="15">
      <c r="A15" s="14" t="inlineStr">
        <is>
          <t>Beryl interpreter</t>
        </is>
      </c>
      <c r="B15" s="14" t="inlineStr">
        <is>
          <t>hash</t>
        </is>
      </c>
      <c r="C15" s="5" t="n">
        <v>1024</v>
      </c>
      <c r="D15" s="14" t="inlineStr">
        <is>
          <t>multiplication_ops</t>
        </is>
      </c>
      <c r="E15" s="14" t="inlineStr">
        <is>
          <t>rows2-v1</t>
        </is>
      </c>
      <c r="F15" s="5" t="n">
        <v>256</v>
      </c>
      <c r="G15" s="5" t="n">
        <v>128</v>
      </c>
      <c r="H15" s="15" t="n">
        <v>80205700</v>
      </c>
      <c r="I15" s="16" t="n">
        <v>272.2</v>
      </c>
      <c r="J15" s="18">
        <f>IFERROR(1-F15/900,"")</f>
        <v/>
      </c>
    </row>
    <row r="16">
      <c r="A16" s="14" t="inlineStr">
        <is>
          <t>Beryl native</t>
        </is>
      </c>
      <c r="B16" s="14" t="inlineStr">
        <is>
          <t>hash</t>
        </is>
      </c>
      <c r="C16" s="5" t="n">
        <v>1024</v>
      </c>
      <c r="D16" s="14" t="inlineStr">
        <is>
          <t>multiplication_ops</t>
        </is>
      </c>
      <c r="E16" s="14" t="inlineStr">
        <is>
          <t>rows2-v1</t>
        </is>
      </c>
      <c r="F16" s="5" t="n">
        <v>256</v>
      </c>
      <c r="G16" s="5" t="n">
        <v>128</v>
      </c>
      <c r="H16" s="15" t="n">
        <v>157</v>
      </c>
      <c r="I16" s="10" t="n"/>
      <c r="J16" s="18">
        <f>IFERROR(1-F16/900,"")</f>
        <v/>
      </c>
    </row>
    <row r="17">
      <c r="A17" s="14" t="inlineStr">
        <is>
          <t>Beryl interpreter</t>
        </is>
      </c>
      <c r="B17" s="14" t="inlineStr">
        <is>
          <t>hash</t>
        </is>
      </c>
      <c r="C17" s="5" t="n">
        <v>0</v>
      </c>
      <c r="D17" s="14" t="inlineStr">
        <is>
          <t>plan_workspace_bytes</t>
        </is>
      </c>
      <c r="E17" s="14" t="inlineStr">
        <is>
          <t>inline-v1</t>
        </is>
      </c>
      <c r="F17" s="5" t="n">
        <v>900</v>
      </c>
      <c r="G17" s="5" t="n">
        <v>0</v>
      </c>
      <c r="H17" s="15" t="n">
        <v>90774900</v>
      </c>
      <c r="I17" s="16" t="n">
        <v>256.3</v>
      </c>
      <c r="J17" s="18">
        <f>IFERROR(1-F17/900,"")</f>
        <v/>
      </c>
    </row>
    <row r="18">
      <c r="A18" s="14" t="inlineStr">
        <is>
          <t>Beryl interpreter</t>
        </is>
      </c>
      <c r="B18" s="14" t="inlineStr">
        <is>
          <t>hash</t>
        </is>
      </c>
      <c r="C18" s="5" t="n">
        <v>16</v>
      </c>
      <c r="D18" s="14" t="inlineStr">
        <is>
          <t>plan_workspace_bytes</t>
        </is>
      </c>
      <c r="E18" s="14" t="inlineStr">
        <is>
          <t>inline-v1</t>
        </is>
      </c>
      <c r="F18" s="5" t="n">
        <v>900</v>
      </c>
      <c r="G18" s="5" t="n">
        <v>0</v>
      </c>
      <c r="H18" s="15" t="n">
        <v>97558600</v>
      </c>
      <c r="I18" s="16" t="n">
        <v>274.5</v>
      </c>
      <c r="J18" s="18">
        <f>IFERROR(1-F18/900,"")</f>
        <v/>
      </c>
    </row>
    <row r="19">
      <c r="A19" s="14" t="inlineStr">
        <is>
          <t>Beryl native</t>
        </is>
      </c>
      <c r="B19" s="14" t="inlineStr">
        <is>
          <t>hash</t>
        </is>
      </c>
      <c r="C19" s="5" t="n">
        <v>16</v>
      </c>
      <c r="D19" s="14" t="inlineStr">
        <is>
          <t>plan_workspace_bytes</t>
        </is>
      </c>
      <c r="E19" s="14" t="inlineStr">
        <is>
          <t>inline-v1</t>
        </is>
      </c>
      <c r="F19" s="5" t="n">
        <v>900</v>
      </c>
      <c r="G19" s="5" t="n">
        <v>0</v>
      </c>
      <c r="H19" s="15" t="n">
        <v>275</v>
      </c>
      <c r="I19" s="10" t="n"/>
      <c r="J19" s="18">
        <f>IFERROR(1-F19/900,"")</f>
        <v/>
      </c>
    </row>
    <row r="20">
      <c r="A20" s="14" t="inlineStr">
        <is>
          <t>Beryl interpreter</t>
        </is>
      </c>
      <c r="B20" s="14" t="inlineStr">
        <is>
          <t>hash</t>
        </is>
      </c>
      <c r="C20" s="5" t="n">
        <v>32</v>
      </c>
      <c r="D20" s="14" t="inlineStr">
        <is>
          <t>plan_workspace_bytes</t>
        </is>
      </c>
      <c r="E20" s="14" t="inlineStr">
        <is>
          <t>inline-v1</t>
        </is>
      </c>
      <c r="F20" s="5" t="n">
        <v>900</v>
      </c>
      <c r="G20" s="5" t="n">
        <v>0</v>
      </c>
      <c r="H20" s="15" t="n">
        <v>100419000</v>
      </c>
      <c r="I20" s="16" t="n">
        <v>265.4</v>
      </c>
      <c r="J20" s="18">
        <f>IFERROR(1-F20/900,"")</f>
        <v/>
      </c>
    </row>
    <row r="21">
      <c r="A21" s="14" t="inlineStr">
        <is>
          <t>Beryl native</t>
        </is>
      </c>
      <c r="B21" s="14" t="inlineStr">
        <is>
          <t>hash</t>
        </is>
      </c>
      <c r="C21" s="5" t="n">
        <v>32</v>
      </c>
      <c r="D21" s="14" t="inlineStr">
        <is>
          <t>plan_workspace_bytes</t>
        </is>
      </c>
      <c r="E21" s="14" t="inlineStr">
        <is>
          <t>inline-v1</t>
        </is>
      </c>
      <c r="F21" s="5" t="n">
        <v>900</v>
      </c>
      <c r="G21" s="5" t="n">
        <v>0</v>
      </c>
      <c r="H21" s="15" t="n">
        <v>276</v>
      </c>
      <c r="I21" s="10" t="n"/>
      <c r="J21" s="18">
        <f>IFERROR(1-F21/900,"")</f>
        <v/>
      </c>
    </row>
    <row r="22">
      <c r="A22" s="14" t="inlineStr">
        <is>
          <t>Beryl interpreter</t>
        </is>
      </c>
      <c r="B22" s="14" t="inlineStr">
        <is>
          <t>hash</t>
        </is>
      </c>
      <c r="C22" s="5" t="n">
        <v>64</v>
      </c>
      <c r="D22" s="14" t="inlineStr">
        <is>
          <t>plan_workspace_bytes</t>
        </is>
      </c>
      <c r="E22" s="14" t="inlineStr">
        <is>
          <t>inline-v1</t>
        </is>
      </c>
      <c r="F22" s="5" t="n">
        <v>900</v>
      </c>
      <c r="G22" s="5" t="n">
        <v>0</v>
      </c>
      <c r="H22" s="15" t="n">
        <v>90241700</v>
      </c>
      <c r="I22" s="16" t="n">
        <v>252.8</v>
      </c>
      <c r="J22" s="18">
        <f>IFERROR(1-F22/900,"")</f>
        <v/>
      </c>
    </row>
    <row r="23">
      <c r="A23" s="14" t="inlineStr">
        <is>
          <t>Beryl native</t>
        </is>
      </c>
      <c r="B23" s="14" t="inlineStr">
        <is>
          <t>hash</t>
        </is>
      </c>
      <c r="C23" s="5" t="n">
        <v>64</v>
      </c>
      <c r="D23" s="14" t="inlineStr">
        <is>
          <t>plan_workspace_bytes</t>
        </is>
      </c>
      <c r="E23" s="14" t="inlineStr">
        <is>
          <t>inline-v1</t>
        </is>
      </c>
      <c r="F23" s="5" t="n">
        <v>900</v>
      </c>
      <c r="G23" s="5" t="n">
        <v>0</v>
      </c>
      <c r="H23" s="15" t="n">
        <v>280</v>
      </c>
      <c r="I23" s="10" t="n"/>
      <c r="J23" s="18">
        <f>IFERROR(1-F23/900,"")</f>
        <v/>
      </c>
    </row>
    <row r="24">
      <c r="A24" s="14" t="inlineStr">
        <is>
          <t>Beryl interpreter</t>
        </is>
      </c>
      <c r="B24" s="14" t="inlineStr">
        <is>
          <t>hash</t>
        </is>
      </c>
      <c r="C24" s="5" t="n">
        <v>128</v>
      </c>
      <c r="D24" s="14" t="inlineStr">
        <is>
          <t>plan_workspace_bytes</t>
        </is>
      </c>
      <c r="E24" s="14" t="inlineStr">
        <is>
          <t>inline-v1</t>
        </is>
      </c>
      <c r="F24" s="5" t="n">
        <v>900</v>
      </c>
      <c r="G24" s="5" t="n">
        <v>0</v>
      </c>
      <c r="H24" s="15" t="n">
        <v>91169500</v>
      </c>
      <c r="I24" s="16" t="n">
        <v>268.1</v>
      </c>
      <c r="J24" s="18">
        <f>IFERROR(1-F24/900,"")</f>
        <v/>
      </c>
    </row>
    <row r="25">
      <c r="A25" s="14" t="inlineStr">
        <is>
          <t>Beryl native</t>
        </is>
      </c>
      <c r="B25" s="14" t="inlineStr">
        <is>
          <t>hash</t>
        </is>
      </c>
      <c r="C25" s="5" t="n">
        <v>128</v>
      </c>
      <c r="D25" s="14" t="inlineStr">
        <is>
          <t>plan_workspace_bytes</t>
        </is>
      </c>
      <c r="E25" s="14" t="inlineStr">
        <is>
          <t>inline-v1</t>
        </is>
      </c>
      <c r="F25" s="5" t="n">
        <v>900</v>
      </c>
      <c r="G25" s="5" t="n">
        <v>0</v>
      </c>
      <c r="H25" s="15" t="n">
        <v>277</v>
      </c>
      <c r="I25" s="10" t="n"/>
      <c r="J25" s="18">
        <f>IFERROR(1-F25/900,"")</f>
        <v/>
      </c>
    </row>
    <row r="26">
      <c r="A26" s="14" t="inlineStr">
        <is>
          <t>Beryl interpreter</t>
        </is>
      </c>
      <c r="B26" s="14" t="inlineStr">
        <is>
          <t>hash</t>
        </is>
      </c>
      <c r="C26" s="5" t="n">
        <v>1024</v>
      </c>
      <c r="D26" s="14" t="inlineStr">
        <is>
          <t>plan_workspace_bytes</t>
        </is>
      </c>
      <c r="E26" s="14" t="inlineStr">
        <is>
          <t>inline-v1</t>
        </is>
      </c>
      <c r="F26" s="5" t="n">
        <v>900</v>
      </c>
      <c r="G26" s="5" t="n">
        <v>0</v>
      </c>
      <c r="H26" s="15" t="n">
        <v>94466600</v>
      </c>
      <c r="I26" s="16" t="n">
        <v>284.8</v>
      </c>
      <c r="J26" s="18">
        <f>IFERROR(1-F26/900,"")</f>
        <v/>
      </c>
    </row>
    <row r="27">
      <c r="A27" s="14" t="inlineStr">
        <is>
          <t>Beryl native</t>
        </is>
      </c>
      <c r="B27" s="14" t="inlineStr">
        <is>
          <t>hash</t>
        </is>
      </c>
      <c r="C27" s="5" t="n">
        <v>1024</v>
      </c>
      <c r="D27" s="14" t="inlineStr">
        <is>
          <t>plan_workspace_bytes</t>
        </is>
      </c>
      <c r="E27" s="14" t="inlineStr">
        <is>
          <t>inline-v1</t>
        </is>
      </c>
      <c r="F27" s="5" t="n">
        <v>900</v>
      </c>
      <c r="G27" s="5" t="n">
        <v>0</v>
      </c>
      <c r="H27" s="15" t="n">
        <v>275</v>
      </c>
      <c r="I27" s="10" t="n"/>
      <c r="J27" s="18">
        <f>IFERROR(1-F27/900,"")</f>
        <v/>
      </c>
    </row>
    <row r="28">
      <c r="A28" s="14" t="inlineStr">
        <is>
          <t>Beryl interpreter</t>
        </is>
      </c>
      <c r="B28" s="14" t="inlineStr">
        <is>
          <t>ramp</t>
        </is>
      </c>
      <c r="C28" s="5" t="n">
        <v>0</v>
      </c>
      <c r="D28" s="14" t="inlineStr">
        <is>
          <t>multiplication_ops</t>
        </is>
      </c>
      <c r="E28" s="14" t="inlineStr">
        <is>
          <t>inline-v1</t>
        </is>
      </c>
      <c r="F28" s="5" t="n">
        <v>900</v>
      </c>
      <c r="G28" s="5" t="n">
        <v>0</v>
      </c>
      <c r="H28" s="15" t="n">
        <v>103627300</v>
      </c>
      <c r="I28" s="16" t="n">
        <v>289.3</v>
      </c>
      <c r="J28" s="18">
        <f>IFERROR(1-F28/900,"")</f>
        <v/>
      </c>
    </row>
    <row r="29">
      <c r="A29" s="14" t="inlineStr">
        <is>
          <t>Beryl native</t>
        </is>
      </c>
      <c r="B29" s="14" t="inlineStr">
        <is>
          <t>ramp</t>
        </is>
      </c>
      <c r="C29" s="5" t="n">
        <v>0</v>
      </c>
      <c r="D29" s="14" t="inlineStr">
        <is>
          <t>multiplication_ops</t>
        </is>
      </c>
      <c r="E29" s="14" t="inlineStr">
        <is>
          <t>inline-v1</t>
        </is>
      </c>
      <c r="F29" s="5" t="n">
        <v>900</v>
      </c>
      <c r="G29" s="5" t="n">
        <v>0</v>
      </c>
      <c r="H29" s="15" t="n">
        <v>282</v>
      </c>
      <c r="I29" s="10" t="n"/>
      <c r="J29" s="18">
        <f>IFERROR(1-F29/900,"")</f>
        <v/>
      </c>
    </row>
    <row r="30">
      <c r="A30" s="14" t="inlineStr">
        <is>
          <t>Beryl interpreter</t>
        </is>
      </c>
      <c r="B30" s="14" t="inlineStr">
        <is>
          <t>ramp</t>
        </is>
      </c>
      <c r="C30" s="5" t="n">
        <v>16</v>
      </c>
      <c r="D30" s="14" t="inlineStr">
        <is>
          <t>multiplication_ops</t>
        </is>
      </c>
      <c r="E30" s="14" t="inlineStr">
        <is>
          <t>inline-v1</t>
        </is>
      </c>
      <c r="F30" s="5" t="n">
        <v>900</v>
      </c>
      <c r="G30" s="5" t="n">
        <v>0</v>
      </c>
      <c r="H30" s="15" t="n">
        <v>94414400</v>
      </c>
      <c r="I30" s="16" t="n">
        <v>263.3</v>
      </c>
      <c r="J30" s="18">
        <f>IFERROR(1-F30/900,"")</f>
        <v/>
      </c>
    </row>
    <row r="31">
      <c r="A31" s="14" t="inlineStr">
        <is>
          <t>Beryl native</t>
        </is>
      </c>
      <c r="B31" s="14" t="inlineStr">
        <is>
          <t>ramp</t>
        </is>
      </c>
      <c r="C31" s="5" t="n">
        <v>16</v>
      </c>
      <c r="D31" s="14" t="inlineStr">
        <is>
          <t>multiplication_ops</t>
        </is>
      </c>
      <c r="E31" s="14" t="inlineStr">
        <is>
          <t>inline-v1</t>
        </is>
      </c>
      <c r="F31" s="5" t="n">
        <v>900</v>
      </c>
      <c r="G31" s="5" t="n">
        <v>0</v>
      </c>
      <c r="H31" s="15" t="n">
        <v>276</v>
      </c>
      <c r="I31" s="10" t="n"/>
      <c r="J31" s="18">
        <f>IFERROR(1-F31/900,"")</f>
        <v/>
      </c>
    </row>
    <row r="32">
      <c r="A32" s="14" t="inlineStr">
        <is>
          <t>Beryl interpreter</t>
        </is>
      </c>
      <c r="B32" s="14" t="inlineStr">
        <is>
          <t>ramp</t>
        </is>
      </c>
      <c r="C32" s="5" t="n">
        <v>32</v>
      </c>
      <c r="D32" s="14" t="inlineStr">
        <is>
          <t>multiplication_ops</t>
        </is>
      </c>
      <c r="E32" s="14" t="inlineStr">
        <is>
          <t>inline-v1</t>
        </is>
      </c>
      <c r="F32" s="5" t="n">
        <v>900</v>
      </c>
      <c r="G32" s="5" t="n">
        <v>0</v>
      </c>
      <c r="H32" s="15" t="n">
        <v>90948100</v>
      </c>
      <c r="I32" s="16" t="n">
        <v>253.9</v>
      </c>
      <c r="J32" s="18">
        <f>IFERROR(1-F32/900,"")</f>
        <v/>
      </c>
    </row>
    <row r="33">
      <c r="A33" s="14" t="inlineStr">
        <is>
          <t>Beryl native</t>
        </is>
      </c>
      <c r="B33" s="14" t="inlineStr">
        <is>
          <t>ramp</t>
        </is>
      </c>
      <c r="C33" s="5" t="n">
        <v>32</v>
      </c>
      <c r="D33" s="14" t="inlineStr">
        <is>
          <t>multiplication_ops</t>
        </is>
      </c>
      <c r="E33" s="14" t="inlineStr">
        <is>
          <t>inline-v1</t>
        </is>
      </c>
      <c r="F33" s="5" t="n">
        <v>900</v>
      </c>
      <c r="G33" s="5" t="n">
        <v>0</v>
      </c>
      <c r="H33" s="15" t="n">
        <v>276</v>
      </c>
      <c r="I33" s="10" t="n"/>
      <c r="J33" s="18">
        <f>IFERROR(1-F33/900,"")</f>
        <v/>
      </c>
    </row>
    <row r="34">
      <c r="A34" s="14" t="inlineStr">
        <is>
          <t>Beryl interpreter</t>
        </is>
      </c>
      <c r="B34" s="14" t="inlineStr">
        <is>
          <t>ramp</t>
        </is>
      </c>
      <c r="C34" s="5" t="n">
        <v>64</v>
      </c>
      <c r="D34" s="14" t="inlineStr">
        <is>
          <t>multiplication_ops</t>
        </is>
      </c>
      <c r="E34" s="14" t="inlineStr">
        <is>
          <t>inline-v1</t>
        </is>
      </c>
      <c r="F34" s="5" t="n">
        <v>900</v>
      </c>
      <c r="G34" s="5" t="n">
        <v>0</v>
      </c>
      <c r="H34" s="15" t="n">
        <v>90738200</v>
      </c>
      <c r="I34" s="16" t="n">
        <v>252.5</v>
      </c>
      <c r="J34" s="18">
        <f>IFERROR(1-F34/900,"")</f>
        <v/>
      </c>
    </row>
    <row r="35">
      <c r="A35" s="14" t="inlineStr">
        <is>
          <t>Beryl native</t>
        </is>
      </c>
      <c r="B35" s="14" t="inlineStr">
        <is>
          <t>ramp</t>
        </is>
      </c>
      <c r="C35" s="5" t="n">
        <v>64</v>
      </c>
      <c r="D35" s="14" t="inlineStr">
        <is>
          <t>multiplication_ops</t>
        </is>
      </c>
      <c r="E35" s="14" t="inlineStr">
        <is>
          <t>inline-v1</t>
        </is>
      </c>
      <c r="F35" s="5" t="n">
        <v>900</v>
      </c>
      <c r="G35" s="5" t="n">
        <v>0</v>
      </c>
      <c r="H35" s="15" t="n">
        <v>276</v>
      </c>
      <c r="I35" s="10" t="n"/>
      <c r="J35" s="18">
        <f>IFERROR(1-F35/900,"")</f>
        <v/>
      </c>
    </row>
    <row r="36">
      <c r="A36" s="14" t="inlineStr">
        <is>
          <t>Beryl interpreter</t>
        </is>
      </c>
      <c r="B36" s="14" t="inlineStr">
        <is>
          <t>ramp</t>
        </is>
      </c>
      <c r="C36" s="5" t="n">
        <v>128</v>
      </c>
      <c r="D36" s="14" t="inlineStr">
        <is>
          <t>multiplication_ops</t>
        </is>
      </c>
      <c r="E36" s="14" t="inlineStr">
        <is>
          <t>rows2-v1</t>
        </is>
      </c>
      <c r="F36" s="5" t="n">
        <v>256</v>
      </c>
      <c r="G36" s="5" t="n">
        <v>128</v>
      </c>
      <c r="H36" s="15" t="n">
        <v>71303100</v>
      </c>
      <c r="I36" s="16" t="n">
        <v>252</v>
      </c>
      <c r="J36" s="18">
        <f>IFERROR(1-F36/900,"")</f>
        <v/>
      </c>
    </row>
    <row r="37">
      <c r="A37" s="14" t="inlineStr">
        <is>
          <t>Beryl native</t>
        </is>
      </c>
      <c r="B37" s="14" t="inlineStr">
        <is>
          <t>ramp</t>
        </is>
      </c>
      <c r="C37" s="5" t="n">
        <v>128</v>
      </c>
      <c r="D37" s="14" t="inlineStr">
        <is>
          <t>multiplication_ops</t>
        </is>
      </c>
      <c r="E37" s="14" t="inlineStr">
        <is>
          <t>rows2-v1</t>
        </is>
      </c>
      <c r="F37" s="5" t="n">
        <v>256</v>
      </c>
      <c r="G37" s="5" t="n">
        <v>128</v>
      </c>
      <c r="H37" s="15" t="n">
        <v>158</v>
      </c>
      <c r="I37" s="10" t="n"/>
      <c r="J37" s="18">
        <f>IFERROR(1-F37/900,"")</f>
        <v/>
      </c>
    </row>
    <row r="38">
      <c r="A38" s="14" t="inlineStr">
        <is>
          <t>Beryl interpreter</t>
        </is>
      </c>
      <c r="B38" s="14" t="inlineStr">
        <is>
          <t>ramp</t>
        </is>
      </c>
      <c r="C38" s="5" t="n">
        <v>1024</v>
      </c>
      <c r="D38" s="14" t="inlineStr">
        <is>
          <t>multiplication_ops</t>
        </is>
      </c>
      <c r="E38" s="14" t="inlineStr">
        <is>
          <t>rows2-v1</t>
        </is>
      </c>
      <c r="F38" s="5" t="n">
        <v>256</v>
      </c>
      <c r="G38" s="5" t="n">
        <v>128</v>
      </c>
      <c r="H38" s="15" t="n">
        <v>74607000</v>
      </c>
      <c r="I38" s="16" t="n">
        <v>265</v>
      </c>
      <c r="J38" s="18">
        <f>IFERROR(1-F38/900,"")</f>
        <v/>
      </c>
    </row>
    <row r="39">
      <c r="A39" s="14" t="inlineStr">
        <is>
          <t>Beryl native</t>
        </is>
      </c>
      <c r="B39" s="14" t="inlineStr">
        <is>
          <t>ramp</t>
        </is>
      </c>
      <c r="C39" s="5" t="n">
        <v>1024</v>
      </c>
      <c r="D39" s="14" t="inlineStr">
        <is>
          <t>multiplication_ops</t>
        </is>
      </c>
      <c r="E39" s="14" t="inlineStr">
        <is>
          <t>rows2-v1</t>
        </is>
      </c>
      <c r="F39" s="5" t="n">
        <v>256</v>
      </c>
      <c r="G39" s="5" t="n">
        <v>128</v>
      </c>
      <c r="H39" s="15" t="n">
        <v>158</v>
      </c>
      <c r="I39" s="10" t="n"/>
      <c r="J39" s="18">
        <f>IFERROR(1-F39/900,"")</f>
        <v/>
      </c>
    </row>
    <row r="40">
      <c r="A40" s="14" t="inlineStr">
        <is>
          <t>Beryl interpreter</t>
        </is>
      </c>
      <c r="B40" s="14" t="inlineStr">
        <is>
          <t>ramp</t>
        </is>
      </c>
      <c r="C40" s="5" t="n">
        <v>0</v>
      </c>
      <c r="D40" s="14" t="inlineStr">
        <is>
          <t>plan_workspace_bytes</t>
        </is>
      </c>
      <c r="E40" s="14" t="inlineStr">
        <is>
          <t>inline-v1</t>
        </is>
      </c>
      <c r="F40" s="5" t="n">
        <v>900</v>
      </c>
      <c r="G40" s="5" t="n">
        <v>0</v>
      </c>
      <c r="H40" s="15" t="n">
        <v>107442300</v>
      </c>
      <c r="I40" s="16" t="n">
        <v>307.4</v>
      </c>
      <c r="J40" s="18">
        <f>IFERROR(1-F40/900,"")</f>
        <v/>
      </c>
    </row>
    <row r="41">
      <c r="A41" s="14" t="inlineStr">
        <is>
          <t>Beryl native</t>
        </is>
      </c>
      <c r="B41" s="14" t="inlineStr">
        <is>
          <t>ramp</t>
        </is>
      </c>
      <c r="C41" s="5" t="n">
        <v>0</v>
      </c>
      <c r="D41" s="14" t="inlineStr">
        <is>
          <t>plan_workspace_bytes</t>
        </is>
      </c>
      <c r="E41" s="14" t="inlineStr">
        <is>
          <t>inline-v1</t>
        </is>
      </c>
      <c r="F41" s="5" t="n">
        <v>900</v>
      </c>
      <c r="G41" s="5" t="n">
        <v>0</v>
      </c>
      <c r="H41" s="15" t="n">
        <v>288</v>
      </c>
      <c r="I41" s="10" t="n"/>
      <c r="J41" s="18">
        <f>IFERROR(1-F41/900,"")</f>
        <v/>
      </c>
    </row>
    <row r="42">
      <c r="A42" s="14" t="inlineStr">
        <is>
          <t>Beryl interpreter</t>
        </is>
      </c>
      <c r="B42" s="14" t="inlineStr">
        <is>
          <t>ramp</t>
        </is>
      </c>
      <c r="C42" s="5" t="n">
        <v>16</v>
      </c>
      <c r="D42" s="14" t="inlineStr">
        <is>
          <t>plan_workspace_bytes</t>
        </is>
      </c>
      <c r="E42" s="14" t="inlineStr">
        <is>
          <t>inline-v1</t>
        </is>
      </c>
      <c r="F42" s="5" t="n">
        <v>900</v>
      </c>
      <c r="G42" s="5" t="n">
        <v>0</v>
      </c>
      <c r="H42" s="15" t="n">
        <v>90374200</v>
      </c>
      <c r="I42" s="16" t="n">
        <v>254.1</v>
      </c>
      <c r="J42" s="18">
        <f>IFERROR(1-F42/900,"")</f>
        <v/>
      </c>
    </row>
    <row r="43">
      <c r="A43" s="14" t="inlineStr">
        <is>
          <t>Beryl native</t>
        </is>
      </c>
      <c r="B43" s="14" t="inlineStr">
        <is>
          <t>ramp</t>
        </is>
      </c>
      <c r="C43" s="5" t="n">
        <v>16</v>
      </c>
      <c r="D43" s="14" t="inlineStr">
        <is>
          <t>plan_workspace_bytes</t>
        </is>
      </c>
      <c r="E43" s="14" t="inlineStr">
        <is>
          <t>inline-v1</t>
        </is>
      </c>
      <c r="F43" s="5" t="n">
        <v>900</v>
      </c>
      <c r="G43" s="5" t="n">
        <v>0</v>
      </c>
      <c r="H43" s="15" t="n">
        <v>279</v>
      </c>
      <c r="I43" s="10" t="n"/>
      <c r="J43" s="18">
        <f>IFERROR(1-F43/900,"")</f>
        <v/>
      </c>
    </row>
    <row r="44">
      <c r="A44" s="14" t="inlineStr">
        <is>
          <t>Beryl interpreter</t>
        </is>
      </c>
      <c r="B44" s="14" t="inlineStr">
        <is>
          <t>ramp</t>
        </is>
      </c>
      <c r="C44" s="5" t="n">
        <v>32</v>
      </c>
      <c r="D44" s="14" t="inlineStr">
        <is>
          <t>plan_workspace_bytes</t>
        </is>
      </c>
      <c r="E44" s="14" t="inlineStr">
        <is>
          <t>inline-v1</t>
        </is>
      </c>
      <c r="F44" s="5" t="n">
        <v>900</v>
      </c>
      <c r="G44" s="5" t="n">
        <v>0</v>
      </c>
      <c r="H44" s="15" t="n">
        <v>90873600</v>
      </c>
      <c r="I44" s="16" t="n">
        <v>253.6</v>
      </c>
      <c r="J44" s="18">
        <f>IFERROR(1-F44/900,"")</f>
        <v/>
      </c>
    </row>
    <row r="45">
      <c r="A45" s="14" t="inlineStr">
        <is>
          <t>Beryl interpreter</t>
        </is>
      </c>
      <c r="B45" s="14" t="inlineStr">
        <is>
          <t>ramp</t>
        </is>
      </c>
      <c r="C45" s="5" t="n">
        <v>64</v>
      </c>
      <c r="D45" s="14" t="inlineStr">
        <is>
          <t>plan_workspace_bytes</t>
        </is>
      </c>
      <c r="E45" s="14" t="inlineStr">
        <is>
          <t>inline-v1</t>
        </is>
      </c>
      <c r="F45" s="5" t="n">
        <v>900</v>
      </c>
      <c r="G45" s="5" t="n">
        <v>0</v>
      </c>
      <c r="H45" s="15" t="n">
        <v>99339800</v>
      </c>
      <c r="I45" s="16" t="n">
        <v>270.9</v>
      </c>
      <c r="J45" s="18">
        <f>IFERROR(1-F45/900,"")</f>
        <v/>
      </c>
    </row>
    <row r="46">
      <c r="A46" s="14" t="inlineStr">
        <is>
          <t>Beryl native</t>
        </is>
      </c>
      <c r="B46" s="14" t="inlineStr">
        <is>
          <t>ramp</t>
        </is>
      </c>
      <c r="C46" s="5" t="n">
        <v>64</v>
      </c>
      <c r="D46" s="14" t="inlineStr">
        <is>
          <t>plan_workspace_bytes</t>
        </is>
      </c>
      <c r="E46" s="14" t="inlineStr">
        <is>
          <t>inline-v1</t>
        </is>
      </c>
      <c r="F46" s="5" t="n">
        <v>900</v>
      </c>
      <c r="G46" s="5" t="n">
        <v>0</v>
      </c>
      <c r="H46" s="15" t="n">
        <v>275</v>
      </c>
      <c r="I46" s="10" t="n"/>
      <c r="J46" s="18">
        <f>IFERROR(1-F46/900,"")</f>
        <v/>
      </c>
    </row>
    <row r="47">
      <c r="A47" s="14" t="inlineStr">
        <is>
          <t>Beryl interpreter</t>
        </is>
      </c>
      <c r="B47" s="14" t="inlineStr">
        <is>
          <t>ramp</t>
        </is>
      </c>
      <c r="C47" s="5" t="n">
        <v>128</v>
      </c>
      <c r="D47" s="14" t="inlineStr">
        <is>
          <t>plan_workspace_bytes</t>
        </is>
      </c>
      <c r="E47" s="14" t="inlineStr">
        <is>
          <t>inline-v1</t>
        </is>
      </c>
      <c r="F47" s="5" t="n">
        <v>900</v>
      </c>
      <c r="G47" s="5" t="n">
        <v>0</v>
      </c>
      <c r="H47" s="15" t="n">
        <v>96832400</v>
      </c>
      <c r="I47" s="16" t="n">
        <v>272.2</v>
      </c>
      <c r="J47" s="18">
        <f>IFERROR(1-F47/900,"")</f>
        <v/>
      </c>
    </row>
    <row r="48">
      <c r="A48" s="14" t="inlineStr">
        <is>
          <t>Beryl interpreter</t>
        </is>
      </c>
      <c r="B48" s="14" t="inlineStr">
        <is>
          <t>ramp</t>
        </is>
      </c>
      <c r="C48" s="5" t="n">
        <v>1024</v>
      </c>
      <c r="D48" s="14" t="inlineStr">
        <is>
          <t>plan_workspace_bytes</t>
        </is>
      </c>
      <c r="E48" s="14" t="inlineStr">
        <is>
          <t>inline-v1</t>
        </is>
      </c>
      <c r="F48" s="5" t="n">
        <v>900</v>
      </c>
      <c r="G48" s="5" t="n">
        <v>0</v>
      </c>
      <c r="H48" s="15" t="n">
        <v>98131300</v>
      </c>
      <c r="I48" s="16" t="n">
        <v>293.9</v>
      </c>
      <c r="J48" s="18">
        <f>IFERROR(1-F48/900,"")</f>
        <v/>
      </c>
    </row>
    <row r="49">
      <c r="A49" s="14" t="inlineStr">
        <is>
          <t>Beryl native</t>
        </is>
      </c>
      <c r="B49" s="14" t="inlineStr">
        <is>
          <t>ramp</t>
        </is>
      </c>
      <c r="C49" s="5" t="n">
        <v>1024</v>
      </c>
      <c r="D49" s="14" t="inlineStr">
        <is>
          <t>plan_workspace_bytes</t>
        </is>
      </c>
      <c r="E49" s="14" t="inlineStr">
        <is>
          <t>inline-v1</t>
        </is>
      </c>
      <c r="F49" s="5" t="n">
        <v>900</v>
      </c>
      <c r="G49" s="5" t="n">
        <v>0</v>
      </c>
      <c r="H49" s="15" t="n">
        <v>276</v>
      </c>
      <c r="I49" s="10" t="n"/>
      <c r="J49" s="18">
        <f>IFERROR(1-F49/900,"")</f>
        <v/>
      </c>
    </row>
    <row r="50">
      <c r="A50" s="14" t="inlineStr">
        <is>
          <t>Beryl interpreter</t>
        </is>
      </c>
      <c r="B50" s="14" t="inlineStr">
        <is>
          <t>max</t>
        </is>
      </c>
      <c r="C50" s="5" t="n">
        <v>0</v>
      </c>
      <c r="D50" s="14" t="inlineStr">
        <is>
          <t>multiplication_ops</t>
        </is>
      </c>
      <c r="E50" s="14" t="inlineStr">
        <is>
          <t>inline-v1</t>
        </is>
      </c>
      <c r="F50" s="5" t="n">
        <v>900</v>
      </c>
      <c r="G50" s="5" t="n">
        <v>0</v>
      </c>
      <c r="H50" s="15" t="n">
        <v>93071100</v>
      </c>
      <c r="I50" s="16" t="n">
        <v>254.7</v>
      </c>
      <c r="J50" s="18">
        <f>IFERROR(1-F50/900,"")</f>
        <v/>
      </c>
    </row>
    <row r="51">
      <c r="A51" s="14" t="inlineStr">
        <is>
          <t>Beryl native</t>
        </is>
      </c>
      <c r="B51" s="14" t="inlineStr">
        <is>
          <t>max</t>
        </is>
      </c>
      <c r="C51" s="5" t="n">
        <v>0</v>
      </c>
      <c r="D51" s="14" t="inlineStr">
        <is>
          <t>multiplication_ops</t>
        </is>
      </c>
      <c r="E51" s="14" t="inlineStr">
        <is>
          <t>inline-v1</t>
        </is>
      </c>
      <c r="F51" s="5" t="n">
        <v>900</v>
      </c>
      <c r="G51" s="5" t="n">
        <v>0</v>
      </c>
      <c r="H51" s="15" t="n">
        <v>276</v>
      </c>
      <c r="I51" s="10" t="n"/>
      <c r="J51" s="18">
        <f>IFERROR(1-F51/900,"")</f>
        <v/>
      </c>
    </row>
    <row r="52">
      <c r="A52" s="14" t="inlineStr">
        <is>
          <t>Beryl interpreter</t>
        </is>
      </c>
      <c r="B52" s="14" t="inlineStr">
        <is>
          <t>max</t>
        </is>
      </c>
      <c r="C52" s="5" t="n">
        <v>16</v>
      </c>
      <c r="D52" s="14" t="inlineStr">
        <is>
          <t>multiplication_ops</t>
        </is>
      </c>
      <c r="E52" s="14" t="inlineStr">
        <is>
          <t>inline-v1</t>
        </is>
      </c>
      <c r="F52" s="5" t="n">
        <v>900</v>
      </c>
      <c r="G52" s="5" t="n">
        <v>0</v>
      </c>
      <c r="H52" s="15" t="n">
        <v>94864500</v>
      </c>
      <c r="I52" s="16" t="n">
        <v>261.7</v>
      </c>
      <c r="J52" s="18">
        <f>IFERROR(1-F52/900,"")</f>
        <v/>
      </c>
    </row>
    <row r="53">
      <c r="A53" s="14" t="inlineStr">
        <is>
          <t>Beryl native</t>
        </is>
      </c>
      <c r="B53" s="14" t="inlineStr">
        <is>
          <t>max</t>
        </is>
      </c>
      <c r="C53" s="5" t="n">
        <v>16</v>
      </c>
      <c r="D53" s="14" t="inlineStr">
        <is>
          <t>multiplication_ops</t>
        </is>
      </c>
      <c r="E53" s="14" t="inlineStr">
        <is>
          <t>inline-v1</t>
        </is>
      </c>
      <c r="F53" s="5" t="n">
        <v>900</v>
      </c>
      <c r="G53" s="5" t="n">
        <v>0</v>
      </c>
      <c r="H53" s="15" t="n">
        <v>281</v>
      </c>
      <c r="I53" s="10" t="n"/>
      <c r="J53" s="18">
        <f>IFERROR(1-F53/900,"")</f>
        <v/>
      </c>
    </row>
    <row r="54">
      <c r="A54" s="14" t="inlineStr">
        <is>
          <t>Beryl interpreter</t>
        </is>
      </c>
      <c r="B54" s="14" t="inlineStr">
        <is>
          <t>max</t>
        </is>
      </c>
      <c r="C54" s="5" t="n">
        <v>32</v>
      </c>
      <c r="D54" s="14" t="inlineStr">
        <is>
          <t>multiplication_ops</t>
        </is>
      </c>
      <c r="E54" s="14" t="inlineStr">
        <is>
          <t>inline-v1</t>
        </is>
      </c>
      <c r="F54" s="5" t="n">
        <v>900</v>
      </c>
      <c r="G54" s="5" t="n">
        <v>0</v>
      </c>
      <c r="H54" s="15" t="n">
        <v>95238100</v>
      </c>
      <c r="I54" s="16" t="n">
        <v>276.9</v>
      </c>
      <c r="J54" s="18">
        <f>IFERROR(1-F54/900,"")</f>
        <v/>
      </c>
    </row>
    <row r="55">
      <c r="A55" s="14" t="inlineStr">
        <is>
          <t>Beryl native</t>
        </is>
      </c>
      <c r="B55" s="14" t="inlineStr">
        <is>
          <t>max</t>
        </is>
      </c>
      <c r="C55" s="5" t="n">
        <v>32</v>
      </c>
      <c r="D55" s="14" t="inlineStr">
        <is>
          <t>multiplication_ops</t>
        </is>
      </c>
      <c r="E55" s="14" t="inlineStr">
        <is>
          <t>inline-v1</t>
        </is>
      </c>
      <c r="F55" s="5" t="n">
        <v>900</v>
      </c>
      <c r="G55" s="5" t="n">
        <v>0</v>
      </c>
      <c r="H55" s="15" t="n">
        <v>276</v>
      </c>
      <c r="I55" s="10" t="n"/>
      <c r="J55" s="18">
        <f>IFERROR(1-F55/900,"")</f>
        <v/>
      </c>
    </row>
    <row r="56">
      <c r="A56" s="14" t="inlineStr">
        <is>
          <t>Beryl interpreter</t>
        </is>
      </c>
      <c r="B56" s="14" t="inlineStr">
        <is>
          <t>max</t>
        </is>
      </c>
      <c r="C56" s="5" t="n">
        <v>64</v>
      </c>
      <c r="D56" s="14" t="inlineStr">
        <is>
          <t>multiplication_ops</t>
        </is>
      </c>
      <c r="E56" s="14" t="inlineStr">
        <is>
          <t>inline-v1</t>
        </is>
      </c>
      <c r="F56" s="5" t="n">
        <v>900</v>
      </c>
      <c r="G56" s="5" t="n">
        <v>0</v>
      </c>
      <c r="H56" s="15" t="n">
        <v>108780500</v>
      </c>
      <c r="I56" s="16" t="n">
        <v>323.1</v>
      </c>
      <c r="J56" s="18">
        <f>IFERROR(1-F56/900,"")</f>
        <v/>
      </c>
    </row>
    <row r="57">
      <c r="A57" s="14" t="inlineStr">
        <is>
          <t>Beryl native</t>
        </is>
      </c>
      <c r="B57" s="14" t="inlineStr">
        <is>
          <t>max</t>
        </is>
      </c>
      <c r="C57" s="5" t="n">
        <v>64</v>
      </c>
      <c r="D57" s="14" t="inlineStr">
        <is>
          <t>multiplication_ops</t>
        </is>
      </c>
      <c r="E57" s="14" t="inlineStr">
        <is>
          <t>inline-v1</t>
        </is>
      </c>
      <c r="F57" s="5" t="n">
        <v>900</v>
      </c>
      <c r="G57" s="5" t="n">
        <v>0</v>
      </c>
      <c r="H57" s="15" t="n">
        <v>276</v>
      </c>
      <c r="I57" s="10" t="n"/>
      <c r="J57" s="18">
        <f>IFERROR(1-F57/900,"")</f>
        <v/>
      </c>
    </row>
    <row r="58">
      <c r="A58" s="14" t="inlineStr">
        <is>
          <t>Beryl interpreter</t>
        </is>
      </c>
      <c r="B58" s="14" t="inlineStr">
        <is>
          <t>max</t>
        </is>
      </c>
      <c r="C58" s="5" t="n">
        <v>128</v>
      </c>
      <c r="D58" s="14" t="inlineStr">
        <is>
          <t>multiplication_ops</t>
        </is>
      </c>
      <c r="E58" s="14" t="inlineStr">
        <is>
          <t>rows2-v1</t>
        </is>
      </c>
      <c r="F58" s="5" t="n">
        <v>256</v>
      </c>
      <c r="G58" s="5" t="n">
        <v>128</v>
      </c>
      <c r="H58" s="15" t="n">
        <v>73144900</v>
      </c>
      <c r="I58" s="16" t="n">
        <v>251.7</v>
      </c>
      <c r="J58" s="18">
        <f>IFERROR(1-F58/900,"")</f>
        <v/>
      </c>
    </row>
    <row r="59">
      <c r="A59" s="14" t="inlineStr">
        <is>
          <t>Beryl native</t>
        </is>
      </c>
      <c r="B59" s="14" t="inlineStr">
        <is>
          <t>max</t>
        </is>
      </c>
      <c r="C59" s="5" t="n">
        <v>128</v>
      </c>
      <c r="D59" s="14" t="inlineStr">
        <is>
          <t>multiplication_ops</t>
        </is>
      </c>
      <c r="E59" s="14" t="inlineStr">
        <is>
          <t>rows2-v1</t>
        </is>
      </c>
      <c r="F59" s="5" t="n">
        <v>256</v>
      </c>
      <c r="G59" s="5" t="n">
        <v>128</v>
      </c>
      <c r="H59" s="15" t="n">
        <v>158</v>
      </c>
      <c r="I59" s="10" t="n"/>
      <c r="J59" s="18">
        <f>IFERROR(1-F59/900,"")</f>
        <v/>
      </c>
    </row>
    <row r="60">
      <c r="A60" s="14" t="inlineStr">
        <is>
          <t>Beryl interpreter</t>
        </is>
      </c>
      <c r="B60" s="14" t="inlineStr">
        <is>
          <t>max</t>
        </is>
      </c>
      <c r="C60" s="5" t="n">
        <v>1024</v>
      </c>
      <c r="D60" s="14" t="inlineStr">
        <is>
          <t>multiplication_ops</t>
        </is>
      </c>
      <c r="E60" s="14" t="inlineStr">
        <is>
          <t>rows2-v1</t>
        </is>
      </c>
      <c r="F60" s="5" t="n">
        <v>256</v>
      </c>
      <c r="G60" s="5" t="n">
        <v>128</v>
      </c>
      <c r="H60" s="15" t="n">
        <v>69708800</v>
      </c>
      <c r="I60" s="16" t="n">
        <v>259.7</v>
      </c>
      <c r="J60" s="18">
        <f>IFERROR(1-F60/900,"")</f>
        <v/>
      </c>
    </row>
    <row r="61">
      <c r="A61" s="14" t="inlineStr">
        <is>
          <t>Beryl native</t>
        </is>
      </c>
      <c r="B61" s="14" t="inlineStr">
        <is>
          <t>max</t>
        </is>
      </c>
      <c r="C61" s="5" t="n">
        <v>1024</v>
      </c>
      <c r="D61" s="14" t="inlineStr">
        <is>
          <t>multiplication_ops</t>
        </is>
      </c>
      <c r="E61" s="14" t="inlineStr">
        <is>
          <t>rows2-v1</t>
        </is>
      </c>
      <c r="F61" s="5" t="n">
        <v>256</v>
      </c>
      <c r="G61" s="5" t="n">
        <v>128</v>
      </c>
      <c r="H61" s="15" t="n">
        <v>157</v>
      </c>
      <c r="I61" s="10" t="n"/>
      <c r="J61" s="18">
        <f>IFERROR(1-F61/900,"")</f>
        <v/>
      </c>
    </row>
    <row r="62">
      <c r="A62" s="14" t="inlineStr">
        <is>
          <t>Beryl interpreter</t>
        </is>
      </c>
      <c r="B62" s="14" t="inlineStr">
        <is>
          <t>max</t>
        </is>
      </c>
      <c r="C62" s="5" t="n">
        <v>0</v>
      </c>
      <c r="D62" s="14" t="inlineStr">
        <is>
          <t>plan_workspace_bytes</t>
        </is>
      </c>
      <c r="E62" s="14" t="inlineStr">
        <is>
          <t>inline-v1</t>
        </is>
      </c>
      <c r="F62" s="5" t="n">
        <v>900</v>
      </c>
      <c r="G62" s="5" t="n">
        <v>0</v>
      </c>
      <c r="H62" s="15" t="n">
        <v>93208900</v>
      </c>
      <c r="I62" s="16" t="n">
        <v>264.6</v>
      </c>
      <c r="J62" s="18">
        <f>IFERROR(1-F62/900,"")</f>
        <v/>
      </c>
    </row>
    <row r="63">
      <c r="A63" s="14" t="inlineStr">
        <is>
          <t>Beryl native</t>
        </is>
      </c>
      <c r="B63" s="14" t="inlineStr">
        <is>
          <t>max</t>
        </is>
      </c>
      <c r="C63" s="5" t="n">
        <v>0</v>
      </c>
      <c r="D63" s="14" t="inlineStr">
        <is>
          <t>plan_workspace_bytes</t>
        </is>
      </c>
      <c r="E63" s="14" t="inlineStr">
        <is>
          <t>inline-v1</t>
        </is>
      </c>
      <c r="F63" s="5" t="n">
        <v>900</v>
      </c>
      <c r="G63" s="5" t="n">
        <v>0</v>
      </c>
      <c r="H63" s="15" t="n">
        <v>277</v>
      </c>
      <c r="I63" s="10" t="n"/>
      <c r="J63" s="18">
        <f>IFERROR(1-F63/900,"")</f>
        <v/>
      </c>
    </row>
    <row r="64">
      <c r="A64" s="14" t="inlineStr">
        <is>
          <t>Beryl interpreter</t>
        </is>
      </c>
      <c r="B64" s="14" t="inlineStr">
        <is>
          <t>max</t>
        </is>
      </c>
      <c r="C64" s="5" t="n">
        <v>16</v>
      </c>
      <c r="D64" s="14" t="inlineStr">
        <is>
          <t>plan_workspace_bytes</t>
        </is>
      </c>
      <c r="E64" s="14" t="inlineStr">
        <is>
          <t>inline-v1</t>
        </is>
      </c>
      <c r="F64" s="5" t="n">
        <v>900</v>
      </c>
      <c r="G64" s="5" t="n">
        <v>0</v>
      </c>
      <c r="H64" s="15" t="n">
        <v>90562600</v>
      </c>
      <c r="I64" s="16" t="n">
        <v>252.1</v>
      </c>
      <c r="J64" s="18">
        <f>IFERROR(1-F64/900,"")</f>
        <v/>
      </c>
    </row>
    <row r="65">
      <c r="A65" s="14" t="inlineStr">
        <is>
          <t>Beryl native</t>
        </is>
      </c>
      <c r="B65" s="14" t="inlineStr">
        <is>
          <t>max</t>
        </is>
      </c>
      <c r="C65" s="5" t="n">
        <v>16</v>
      </c>
      <c r="D65" s="14" t="inlineStr">
        <is>
          <t>plan_workspace_bytes</t>
        </is>
      </c>
      <c r="E65" s="14" t="inlineStr">
        <is>
          <t>inline-v1</t>
        </is>
      </c>
      <c r="F65" s="5" t="n">
        <v>900</v>
      </c>
      <c r="G65" s="5" t="n">
        <v>0</v>
      </c>
      <c r="H65" s="15" t="n">
        <v>275</v>
      </c>
      <c r="I65" s="10" t="n"/>
      <c r="J65" s="18">
        <f>IFERROR(1-F65/900,"")</f>
        <v/>
      </c>
    </row>
    <row r="66">
      <c r="A66" s="14" t="inlineStr">
        <is>
          <t>Beryl interpreter</t>
        </is>
      </c>
      <c r="B66" s="14" t="inlineStr">
        <is>
          <t>max</t>
        </is>
      </c>
      <c r="C66" s="5" t="n">
        <v>32</v>
      </c>
      <c r="D66" s="14" t="inlineStr">
        <is>
          <t>plan_workspace_bytes</t>
        </is>
      </c>
      <c r="E66" s="14" t="inlineStr">
        <is>
          <t>inline-v1</t>
        </is>
      </c>
      <c r="F66" s="5" t="n">
        <v>900</v>
      </c>
      <c r="G66" s="5" t="n">
        <v>0</v>
      </c>
      <c r="H66" s="15" t="n">
        <v>90452200</v>
      </c>
      <c r="I66" s="16" t="n">
        <v>259.3</v>
      </c>
      <c r="J66" s="18">
        <f>IFERROR(1-F66/900,"")</f>
        <v/>
      </c>
    </row>
    <row r="67">
      <c r="A67" s="14" t="inlineStr">
        <is>
          <t>Beryl native</t>
        </is>
      </c>
      <c r="B67" s="14" t="inlineStr">
        <is>
          <t>max</t>
        </is>
      </c>
      <c r="C67" s="5" t="n">
        <v>32</v>
      </c>
      <c r="D67" s="14" t="inlineStr">
        <is>
          <t>plan_workspace_bytes</t>
        </is>
      </c>
      <c r="E67" s="14" t="inlineStr">
        <is>
          <t>inline-v1</t>
        </is>
      </c>
      <c r="F67" s="5" t="n">
        <v>900</v>
      </c>
      <c r="G67" s="5" t="n">
        <v>0</v>
      </c>
      <c r="H67" s="15" t="n">
        <v>275</v>
      </c>
      <c r="I67" s="10" t="n"/>
      <c r="J67" s="18">
        <f>IFERROR(1-F67/900,"")</f>
        <v/>
      </c>
    </row>
    <row r="68">
      <c r="A68" s="14" t="inlineStr">
        <is>
          <t>Beryl interpreter</t>
        </is>
      </c>
      <c r="B68" s="14" t="inlineStr">
        <is>
          <t>max</t>
        </is>
      </c>
      <c r="C68" s="5" t="n">
        <v>64</v>
      </c>
      <c r="D68" s="14" t="inlineStr">
        <is>
          <t>plan_workspace_bytes</t>
        </is>
      </c>
      <c r="E68" s="14" t="inlineStr">
        <is>
          <t>inline-v1</t>
        </is>
      </c>
      <c r="F68" s="5" t="n">
        <v>900</v>
      </c>
      <c r="G68" s="5" t="n">
        <v>0</v>
      </c>
      <c r="H68" s="15" t="n">
        <v>90713500</v>
      </c>
      <c r="I68" s="16" t="n">
        <v>257.5</v>
      </c>
      <c r="J68" s="18">
        <f>IFERROR(1-F68/900,"")</f>
        <v/>
      </c>
    </row>
    <row r="69">
      <c r="A69" s="14" t="inlineStr">
        <is>
          <t>Beryl interpreter</t>
        </is>
      </c>
      <c r="B69" s="14" t="inlineStr">
        <is>
          <t>max</t>
        </is>
      </c>
      <c r="C69" s="5" t="n">
        <v>128</v>
      </c>
      <c r="D69" s="14" t="inlineStr">
        <is>
          <t>plan_workspace_bytes</t>
        </is>
      </c>
      <c r="E69" s="14" t="inlineStr">
        <is>
          <t>inline-v1</t>
        </is>
      </c>
      <c r="F69" s="5" t="n">
        <v>900</v>
      </c>
      <c r="G69" s="5" t="n">
        <v>0</v>
      </c>
      <c r="H69" s="15" t="n">
        <v>93912900</v>
      </c>
      <c r="I69" s="16" t="n">
        <v>273.7</v>
      </c>
      <c r="J69" s="18">
        <f>IFERROR(1-F69/900,"")</f>
        <v/>
      </c>
    </row>
    <row r="70">
      <c r="A70" s="14" t="inlineStr">
        <is>
          <t>Beryl native</t>
        </is>
      </c>
      <c r="B70" s="14" t="inlineStr">
        <is>
          <t>max</t>
        </is>
      </c>
      <c r="C70" s="5" t="n">
        <v>128</v>
      </c>
      <c r="D70" s="14" t="inlineStr">
        <is>
          <t>plan_workspace_bytes</t>
        </is>
      </c>
      <c r="E70" s="14" t="inlineStr">
        <is>
          <t>inline-v1</t>
        </is>
      </c>
      <c r="F70" s="5" t="n">
        <v>900</v>
      </c>
      <c r="G70" s="5" t="n">
        <v>0</v>
      </c>
      <c r="H70" s="15" t="n">
        <v>421</v>
      </c>
      <c r="I70" s="10" t="n"/>
      <c r="J70" s="18">
        <f>IFERROR(1-F70/900,"")</f>
        <v/>
      </c>
    </row>
    <row r="71">
      <c r="A71" s="14" t="inlineStr">
        <is>
          <t>Beryl interpreter</t>
        </is>
      </c>
      <c r="B71" s="14" t="inlineStr">
        <is>
          <t>max</t>
        </is>
      </c>
      <c r="C71" s="5" t="n">
        <v>1024</v>
      </c>
      <c r="D71" s="14" t="inlineStr">
        <is>
          <t>plan_workspace_bytes</t>
        </is>
      </c>
      <c r="E71" s="14" t="inlineStr">
        <is>
          <t>inline-v1</t>
        </is>
      </c>
      <c r="F71" s="5" t="n">
        <v>900</v>
      </c>
      <c r="G71" s="5" t="n">
        <v>0</v>
      </c>
      <c r="H71" s="15" t="n">
        <v>92562800</v>
      </c>
      <c r="I71" s="16" t="n">
        <v>280.7</v>
      </c>
      <c r="J71" s="18">
        <f>IFERROR(1-F71/900,"")</f>
        <v/>
      </c>
    </row>
    <row r="72">
      <c r="A72" s="14" t="inlineStr">
        <is>
          <t>Beryl native</t>
        </is>
      </c>
      <c r="B72" s="14" t="inlineStr">
        <is>
          <t>max</t>
        </is>
      </c>
      <c r="C72" s="5" t="n">
        <v>1024</v>
      </c>
      <c r="D72" s="14" t="inlineStr">
        <is>
          <t>plan_workspace_bytes</t>
        </is>
      </c>
      <c r="E72" s="14" t="inlineStr">
        <is>
          <t>inline-v1</t>
        </is>
      </c>
      <c r="F72" s="5" t="n">
        <v>900</v>
      </c>
      <c r="G72" s="5" t="n">
        <v>0</v>
      </c>
      <c r="H72" s="15" t="n">
        <v>279</v>
      </c>
      <c r="I72" s="10" t="n"/>
      <c r="J72" s="18">
        <f>IFERROR(1-F72/900,"")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</cols>
  <sheetData>
    <row r="1">
      <c r="A1" s="1" t="inlineStr">
        <is>
          <t>Checked interpreter: time per phase (ms), small size, hash pattern</t>
        </is>
      </c>
    </row>
    <row r="2">
      <c r="A2" s="2" t="inlineStr">
        <is>
          <t>select = generate and independently check every candidate plan; execute = fresh re-check plus interpretation; reference = independent source evaluation.</t>
        </is>
      </c>
    </row>
    <row r="4" ht="32" customHeight="1">
      <c r="A4" s="3" t="inlineStr">
        <is>
          <t>Kernel</t>
        </is>
      </c>
      <c r="B4" s="3" t="inlineStr">
        <is>
          <t>Size</t>
        </is>
      </c>
      <c r="C4" s="3" t="inlineStr">
        <is>
          <t>Parse</t>
        </is>
      </c>
      <c r="D4" s="3" t="inlineStr">
        <is>
          <t>Admit</t>
        </is>
      </c>
      <c r="E4" s="3" t="inlineStr">
        <is>
          <t>Select</t>
        </is>
      </c>
      <c r="F4" s="3" t="inlineStr">
        <is>
          <t>Execute</t>
        </is>
      </c>
      <c r="G4" s="3" t="inlineStr">
        <is>
          <t>Reference</t>
        </is>
      </c>
      <c r="H4" s="3" t="inlineStr">
        <is>
          <t>Total</t>
        </is>
      </c>
      <c r="I4" s="3" t="inlineStr">
        <is>
          <t>Select share</t>
        </is>
      </c>
      <c r="J4" s="3" t="inlineStr">
        <is>
          <t>Execute share</t>
        </is>
      </c>
      <c r="K4" s="3" t="inlineStr">
        <is>
          <t>vs C (x)</t>
        </is>
      </c>
    </row>
    <row r="5">
      <c r="A5" s="14" t="inlineStr">
        <is>
          <t>sq2x2</t>
        </is>
      </c>
      <c r="B5" s="14" t="inlineStr">
        <is>
          <t>s</t>
        </is>
      </c>
      <c r="C5" s="11" t="n">
        <v>0.8</v>
      </c>
      <c r="D5" s="11" t="n">
        <v>0.17</v>
      </c>
      <c r="E5" s="16" t="n">
        <v>257.33</v>
      </c>
      <c r="F5" s="16" t="n">
        <v>118.95</v>
      </c>
      <c r="G5" s="11" t="n">
        <v>8.140000000000001</v>
      </c>
      <c r="H5" s="10">
        <f>SUM(C5:G5)</f>
        <v/>
      </c>
      <c r="I5" s="18">
        <f>IFERROR(E5/H5,"")</f>
        <v/>
      </c>
      <c r="J5" s="18">
        <f>IFERROR(F5/H5,"")</f>
        <v/>
      </c>
      <c r="K5" s="9">
        <f>IFERROR(H5*1000000/422,"")</f>
        <v/>
      </c>
    </row>
    <row r="6">
      <c r="A6" s="14" t="inlineStr">
        <is>
          <t>stencil1d3</t>
        </is>
      </c>
      <c r="B6" s="14" t="inlineStr">
        <is>
          <t>s</t>
        </is>
      </c>
      <c r="C6" s="11" t="n">
        <v>0.53</v>
      </c>
      <c r="D6" s="11" t="n">
        <v>0.18</v>
      </c>
      <c r="E6" s="16" t="n">
        <v>156.25</v>
      </c>
      <c r="F6" s="16" t="n">
        <v>59.26</v>
      </c>
      <c r="G6" s="11" t="n">
        <v>5.5</v>
      </c>
      <c r="H6" s="10">
        <f>SUM(C6:G6)</f>
        <v/>
      </c>
      <c r="I6" s="18">
        <f>IFERROR(E6/H6,"")</f>
        <v/>
      </c>
      <c r="J6" s="18">
        <f>IFERROR(F6/H6,"")</f>
        <v/>
      </c>
      <c r="K6" s="9">
        <f>IFERROR(H6*1000000/206,"")</f>
        <v/>
      </c>
    </row>
    <row r="7">
      <c r="A7" s="14" t="inlineStr">
        <is>
          <t>box3x3</t>
        </is>
      </c>
      <c r="B7" s="14" t="inlineStr">
        <is>
          <t>s</t>
        </is>
      </c>
      <c r="C7" s="11" t="n">
        <v>0.6899999999999999</v>
      </c>
      <c r="D7" s="11" t="n">
        <v>0.18</v>
      </c>
      <c r="E7" s="16" t="n">
        <v>190.98</v>
      </c>
      <c r="F7" s="16" t="n">
        <v>89.70999999999999</v>
      </c>
      <c r="G7" s="11" t="n">
        <v>4.32</v>
      </c>
      <c r="H7" s="10">
        <f>SUM(C7:G7)</f>
        <v/>
      </c>
      <c r="I7" s="18">
        <f>IFERROR(E7/H7,"")</f>
        <v/>
      </c>
      <c r="J7" s="18">
        <f>IFERROR(F7/H7,"")</f>
        <v/>
      </c>
      <c r="K7" s="9">
        <f>IFERROR(H7*1000000/482,"")</f>
        <v/>
      </c>
    </row>
    <row r="8">
      <c r="A8" s="14" t="inlineStr">
        <is>
          <t>laplace5</t>
        </is>
      </c>
      <c r="B8" s="14" t="inlineStr">
        <is>
          <t>s</t>
        </is>
      </c>
      <c r="C8" s="11" t="n">
        <v>0.59</v>
      </c>
      <c r="D8" s="11" t="n">
        <v>0.17</v>
      </c>
      <c r="E8" s="16" t="n">
        <v>222.92</v>
      </c>
      <c r="F8" s="16" t="n">
        <v>79.86</v>
      </c>
      <c r="G8" s="11" t="n">
        <v>5.68</v>
      </c>
      <c r="H8" s="10">
        <f>SUM(C8:G8)</f>
        <v/>
      </c>
      <c r="I8" s="18">
        <f>IFERROR(E8/H8,"")</f>
        <v/>
      </c>
      <c r="J8" s="18">
        <f>IFERROR(F8/H8,"")</f>
        <v/>
      </c>
      <c r="K8" s="9">
        <f>IFERROR(H8*1000000/227,"")</f>
        <v/>
      </c>
    </row>
    <row r="9">
      <c r="A9" s="14" t="inlineStr">
        <is>
          <t>conv3x3</t>
        </is>
      </c>
      <c r="B9" s="14" t="inlineStr">
        <is>
          <t>s</t>
        </is>
      </c>
      <c r="C9" s="11" t="n">
        <v>0.5600000000000001</v>
      </c>
      <c r="D9" s="11" t="n">
        <v>0.16</v>
      </c>
      <c r="E9" s="16" t="n">
        <v>210.62</v>
      </c>
      <c r="F9" s="16" t="n">
        <v>72.43000000000001</v>
      </c>
      <c r="G9" s="11" t="n">
        <v>4.85</v>
      </c>
      <c r="H9" s="10">
        <f>SUM(C9:G9)</f>
        <v/>
      </c>
      <c r="I9" s="18">
        <f>IFERROR(E9/H9,"")</f>
        <v/>
      </c>
      <c r="J9" s="18">
        <f>IFERROR(F9/H9,"")</f>
        <v/>
      </c>
      <c r="K9" s="9">
        <f>IFERROR(H9*1000000/530,"")</f>
        <v/>
      </c>
    </row>
    <row r="10">
      <c r="A10" s="14" t="inlineStr">
        <is>
          <t>polymap</t>
        </is>
      </c>
      <c r="B10" s="14" t="inlineStr">
        <is>
          <t>s</t>
        </is>
      </c>
      <c r="C10" s="11" t="n">
        <v>0.41</v>
      </c>
      <c r="D10" s="11" t="n">
        <v>0.13</v>
      </c>
      <c r="E10" s="16" t="n">
        <v>156.04</v>
      </c>
      <c r="F10" s="16" t="n">
        <v>52.43</v>
      </c>
      <c r="G10" s="11" t="n">
        <v>3.83</v>
      </c>
      <c r="H10" s="10">
        <f>SUM(C10:G10)</f>
        <v/>
      </c>
      <c r="I10" s="18">
        <f>IFERROR(E10/H10,"")</f>
        <v/>
      </c>
      <c r="J10" s="18">
        <f>IFERROR(F10/H10,"")</f>
        <v/>
      </c>
      <c r="K10" s="9">
        <f>IFERROR(H10*1000000/181,"")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62" customWidth="1" min="6" max="6"/>
  </cols>
  <sheetData>
    <row r="1">
      <c r="A1" s="1" t="inlineStr">
        <is>
          <t>What Beryl accepts today, per kernel and size (interpreter status, hash pattern)</t>
        </is>
      </c>
    </row>
    <row r="2">
      <c r="A2" s="2" t="inlineStr">
        <is>
          <t>ok = admitted, proved and verified. unsupported = refused with a real diagnostic or not expressible in the grammar.</t>
        </is>
      </c>
    </row>
    <row r="4" ht="32" customHeight="1">
      <c r="A4" s="3" t="inlineStr">
        <is>
          <t>Kernel</t>
        </is>
      </c>
      <c r="B4" s="3" t="inlineStr">
        <is>
          <t>Family</t>
        </is>
      </c>
      <c r="C4" s="3" t="inlineStr">
        <is>
          <t>Small</t>
        </is>
      </c>
      <c r="D4" s="3" t="inlineStr">
        <is>
          <t>Medium</t>
        </is>
      </c>
      <c r="E4" s="3" t="inlineStr">
        <is>
          <t>Large</t>
        </is>
      </c>
      <c r="F4" s="3" t="inlineStr">
        <is>
          <t>Blocking reason / missing features</t>
        </is>
      </c>
    </row>
    <row r="5">
      <c r="A5" s="14" t="inlineStr">
        <is>
          <t>sq2x2</t>
        </is>
      </c>
      <c r="B5" s="14" t="inlineStr">
        <is>
          <t>stencil-2d</t>
        </is>
      </c>
      <c r="C5" s="14" t="inlineStr">
        <is>
          <t>ok</t>
        </is>
      </c>
      <c r="D5" s="14" t="inlineStr">
        <is>
          <t>unsupported</t>
        </is>
      </c>
      <c r="E5" s="14" t="inlineStr">
        <is>
          <t>unsupported</t>
        </is>
      </c>
      <c r="F5" s="6" t="inlineStr">
        <is>
          <t>input exceeds 256 cells</t>
        </is>
      </c>
    </row>
    <row r="6">
      <c r="A6" s="14" t="inlineStr">
        <is>
          <t>stencil1d3</t>
        </is>
      </c>
      <c r="B6" s="14" t="inlineStr">
        <is>
          <t>stencil-1d</t>
        </is>
      </c>
      <c r="C6" s="14" t="inlineStr">
        <is>
          <t>ok</t>
        </is>
      </c>
      <c r="D6" s="14" t="inlineStr">
        <is>
          <t>unsupported</t>
        </is>
      </c>
      <c r="E6" s="14" t="inlineStr">
        <is>
          <t>unsupported</t>
        </is>
      </c>
      <c r="F6" s="6" t="inlineStr">
        <is>
          <t>input exceeds 256 cells</t>
        </is>
      </c>
    </row>
    <row r="7">
      <c r="A7" s="14" t="inlineStr">
        <is>
          <t>box3x3</t>
        </is>
      </c>
      <c r="B7" s="14" t="inlineStr">
        <is>
          <t>stencil-2d</t>
        </is>
      </c>
      <c r="C7" s="14" t="inlineStr">
        <is>
          <t>ok</t>
        </is>
      </c>
      <c r="D7" s="14" t="inlineStr">
        <is>
          <t>unsupported</t>
        </is>
      </c>
      <c r="E7" s="14" t="inlineStr">
        <is>
          <t>unsupported</t>
        </is>
      </c>
      <c r="F7" s="6" t="inlineStr">
        <is>
          <t>input exceeds 256 cells</t>
        </is>
      </c>
    </row>
    <row r="8">
      <c r="A8" s="14" t="inlineStr">
        <is>
          <t>laplace5</t>
        </is>
      </c>
      <c r="B8" s="14" t="inlineStr">
        <is>
          <t>stencil-2d</t>
        </is>
      </c>
      <c r="C8" s="14" t="inlineStr">
        <is>
          <t>ok</t>
        </is>
      </c>
      <c r="D8" s="14" t="inlineStr">
        <is>
          <t>unsupported</t>
        </is>
      </c>
      <c r="E8" s="14" t="inlineStr">
        <is>
          <t>unsupported</t>
        </is>
      </c>
      <c r="F8" s="6" t="inlineStr">
        <is>
          <t>input exceeds 256 cells</t>
        </is>
      </c>
    </row>
    <row r="9">
      <c r="A9" s="14" t="inlineStr">
        <is>
          <t>conv3x3</t>
        </is>
      </c>
      <c r="B9" s="14" t="inlineStr">
        <is>
          <t>stencil-2d</t>
        </is>
      </c>
      <c r="C9" s="14" t="inlineStr">
        <is>
          <t>ok</t>
        </is>
      </c>
      <c r="D9" s="14" t="inlineStr">
        <is>
          <t>unsupported</t>
        </is>
      </c>
      <c r="E9" s="14" t="inlineStr">
        <is>
          <t>unsupported</t>
        </is>
      </c>
      <c r="F9" s="6" t="inlineStr">
        <is>
          <t>input exceeds 256 cells</t>
        </is>
      </c>
    </row>
    <row r="10">
      <c r="A10" s="14" t="inlineStr">
        <is>
          <t>life</t>
        </is>
      </c>
      <c r="B10" s="14" t="inlineStr">
        <is>
          <t>stencil-2d-cond</t>
        </is>
      </c>
      <c r="C10" s="14" t="inlineStr">
        <is>
          <t>unsupported</t>
        </is>
      </c>
      <c r="D10" s="14" t="inlineStr">
        <is>
          <t>unsupported</t>
        </is>
      </c>
      <c r="E10" s="14" t="inlineStr">
        <is>
          <t>unsupported</t>
        </is>
      </c>
      <c r="F10" s="6" t="inlineStr">
        <is>
          <t>bitwise ops, comparison, select/conditional</t>
        </is>
      </c>
    </row>
    <row r="11">
      <c r="A11" s="14" t="inlineStr">
        <is>
          <t>polymap</t>
        </is>
      </c>
      <c r="B11" s="14" t="inlineStr">
        <is>
          <t>elementwise</t>
        </is>
      </c>
      <c r="C11" s="14" t="inlineStr">
        <is>
          <t>ok</t>
        </is>
      </c>
      <c r="D11" s="14" t="inlineStr">
        <is>
          <t>unsupported</t>
        </is>
      </c>
      <c r="E11" s="14" t="inlineStr">
        <is>
          <t>unsupported</t>
        </is>
      </c>
      <c r="F11" s="6" t="inlineStr">
        <is>
          <t>input exceeds 256 cells</t>
        </is>
      </c>
    </row>
    <row r="12">
      <c r="A12" s="14" t="inlineStr">
        <is>
          <t>transpose</t>
        </is>
      </c>
      <c r="B12" s="14" t="inlineStr">
        <is>
          <t>layout</t>
        </is>
      </c>
      <c r="C12" s="14" t="inlineStr">
        <is>
          <t>unsupported</t>
        </is>
      </c>
      <c r="D12" s="14" t="inlineStr">
        <is>
          <t>unsupported</t>
        </is>
      </c>
      <c r="E12" s="14" t="inlineStr">
        <is>
          <t>unsupported</t>
        </is>
      </c>
      <c r="F12" s="6" t="inlineStr">
        <is>
          <t>requires exactly two shapes, one input, one producer and one output</t>
        </is>
      </c>
    </row>
    <row r="13">
      <c r="A13" s="14" t="inlineStr">
        <is>
          <t>maxpool2</t>
        </is>
      </c>
      <c r="B13" s="14" t="inlineStr">
        <is>
          <t>stencil-2d-cond</t>
        </is>
      </c>
      <c r="C13" s="14" t="inlineStr">
        <is>
          <t>unsupported</t>
        </is>
      </c>
      <c r="D13" s="14" t="inlineStr">
        <is>
          <t>unsupported</t>
        </is>
      </c>
      <c r="E13" s="14" t="inlineStr">
        <is>
          <t>unsupported</t>
        </is>
      </c>
      <c r="F13" s="6" t="inlineStr">
        <is>
          <t>max operator, strided index (2*r)</t>
        </is>
      </c>
    </row>
    <row r="14">
      <c r="A14" s="14" t="inlineStr">
        <is>
          <t>sum</t>
        </is>
      </c>
      <c r="B14" s="14" t="inlineStr">
        <is>
          <t>reduction</t>
        </is>
      </c>
      <c r="C14" s="14" t="inlineStr">
        <is>
          <t>unsupported</t>
        </is>
      </c>
      <c r="D14" s="14" t="inlineStr">
        <is>
          <t>unsupported</t>
        </is>
      </c>
      <c r="E14" s="14" t="inlineStr">
        <is>
          <t>unsupported</t>
        </is>
      </c>
      <c r="F14" s="6" t="inlineStr">
        <is>
          <t>reduction syntax, i64 accumulators</t>
        </is>
      </c>
    </row>
    <row r="15">
      <c r="A15" s="14" t="inlineStr">
        <is>
          <t>dot</t>
        </is>
      </c>
      <c r="B15" s="14" t="inlineStr">
        <is>
          <t>reduction</t>
        </is>
      </c>
      <c r="C15" s="14" t="inlineStr">
        <is>
          <t>unsupported</t>
        </is>
      </c>
      <c r="D15" s="14" t="inlineStr">
        <is>
          <t>unsupported</t>
        </is>
      </c>
      <c r="E15" s="14" t="inlineStr">
        <is>
          <t>unsupported</t>
        </is>
      </c>
      <c r="F15" s="6" t="inlineStr">
        <is>
          <t>reduction syntax, multiple inputs, i64 accumulators</t>
        </is>
      </c>
    </row>
    <row r="16">
      <c r="A16" s="14" t="inlineStr">
        <is>
          <t>scan</t>
        </is>
      </c>
      <c r="B16" s="14" t="inlineStr">
        <is>
          <t>scan</t>
        </is>
      </c>
      <c r="C16" s="14" t="inlineStr">
        <is>
          <t>unsupported</t>
        </is>
      </c>
      <c r="D16" s="14" t="inlineStr">
        <is>
          <t>unsupported</t>
        </is>
      </c>
      <c r="E16" s="14" t="inlineStr">
        <is>
          <t>unsupported</t>
        </is>
      </c>
      <c r="F16" s="6" t="inlineStr">
        <is>
          <t>recurrence/scan syntax, i64 outputs</t>
        </is>
      </c>
    </row>
    <row r="17">
      <c r="A17" s="14" t="inlineStr">
        <is>
          <t>hist</t>
        </is>
      </c>
      <c r="B17" s="14" t="inlineStr">
        <is>
          <t>scatter</t>
        </is>
      </c>
      <c r="C17" s="14" t="inlineStr">
        <is>
          <t>unsupported</t>
        </is>
      </c>
      <c r="D17" s="14" t="inlineStr">
        <is>
          <t>unsupported</t>
        </is>
      </c>
      <c r="E17" s="14" t="inlineStr">
        <is>
          <t>unsupported</t>
        </is>
      </c>
      <c r="F17" s="6" t="inlineStr">
        <is>
          <t>data-dependent indexing, scatter/accumulate</t>
        </is>
      </c>
    </row>
    <row r="18">
      <c r="A18" s="14" t="inlineStr">
        <is>
          <t>matmul</t>
        </is>
      </c>
      <c r="B18" s="14" t="inlineStr">
        <is>
          <t>dense-linear-algebra</t>
        </is>
      </c>
      <c r="C18" s="14" t="inlineStr">
        <is>
          <t>unsupported</t>
        </is>
      </c>
      <c r="D18" s="14" t="inlineStr">
        <is>
          <t>unsupported</t>
        </is>
      </c>
      <c r="E18" s="14" t="inlineStr">
        <is>
          <t>unsupported</t>
        </is>
      </c>
      <c r="F18" s="6" t="inlineStr">
        <is>
          <t>reduction syntax, multiple inputs, tiling plans</t>
        </is>
      </c>
    </row>
    <row r="20">
      <c r="A20" s="4" t="inlineStr">
        <is>
          <t>Accepted</t>
        </is>
      </c>
      <c r="B20" s="4" t="inlineStr"/>
      <c r="C20" s="19">
        <f>COUNTIF(C5:C18,"ok")</f>
        <v/>
      </c>
      <c r="D20" s="19">
        <f>COUNTIF(D5:D18,"ok")</f>
        <v/>
      </c>
      <c r="E20" s="19">
        <f>COUNTIF(E5:E18,"ok")</f>
        <v/>
      </c>
      <c r="F20" s="4">
        <f>C20+D20+E20&amp;" of "&amp;3*COUNTA(A5:A18)&amp;" kernel/size combinations"</f>
        <v/>
      </c>
    </row>
    <row r="22">
      <c r="A22" s="20" t="inlineStr">
        <is>
          <t>Missing features, ranked by how many kernel/size combinations they block</t>
        </is>
      </c>
    </row>
    <row r="23">
      <c r="A23" s="21" t="inlineStr">
        <is>
          <t>Feature</t>
        </is>
      </c>
      <c r="B23" s="21" t="inlineStr">
        <is>
          <t>Blocked combinations</t>
        </is>
      </c>
      <c r="C23" s="21" t="inlineStr">
        <is>
          <t>Kernels</t>
        </is>
      </c>
      <c r="D23" s="21" t="inlineStr"/>
      <c r="E23" s="21" t="inlineStr"/>
      <c r="F23" s="21" t="inlineStr">
        <is>
          <t>Notes</t>
        </is>
      </c>
    </row>
    <row r="24">
      <c r="A24" s="14" t="inlineStr">
        <is>
          <t>inputs above 256 cells (m/l tiers)</t>
        </is>
      </c>
      <c r="B24" s="22" t="n">
        <v>12</v>
      </c>
      <c r="C24" s="6" t="inlineStr">
        <is>
          <t>box3x3, conv3x3, laplace5, polymap, sq2x2, stencil1d3</t>
        </is>
      </c>
      <c r="D24" s="14" t="inlineStr"/>
      <c r="E24" s="14" t="inlineStr"/>
      <c r="F24" s="6" t="inlineStr">
        <is>
          <t>Needs the compact-loop proof work the handoff marks as blocked (C1/F1).</t>
        </is>
      </c>
    </row>
    <row r="25">
      <c r="A25" s="14" t="inlineStr">
        <is>
          <t>reduction syntax</t>
        </is>
      </c>
      <c r="B25" s="22" t="n">
        <v>9</v>
      </c>
      <c r="C25" s="6" t="inlineStr">
        <is>
          <t>dot, matmul, sum</t>
        </is>
      </c>
      <c r="D25" s="14" t="inlineStr"/>
      <c r="E25" s="14" t="inlineStr"/>
      <c r="F25" s="6" t="inlineStr">
        <is>
          <t>sum, dot, matmul. A bounded fold over a literal axis would cover all three.</t>
        </is>
      </c>
    </row>
    <row r="26">
      <c r="A26" s="14" t="inlineStr">
        <is>
          <t>i64 accumulators</t>
        </is>
      </c>
      <c r="B26" s="22" t="n">
        <v>6</v>
      </c>
      <c r="C26" s="6" t="inlineStr">
        <is>
          <t>dot, sum</t>
        </is>
      </c>
      <c r="D26" s="14" t="inlineStr"/>
      <c r="E26" s="14" t="inlineStr"/>
      <c r="F26" s="6" t="inlineStr">
        <is>
          <t>Reductions over 0..1023 inputs overflow i32 beyond ~2M terms.</t>
        </is>
      </c>
    </row>
    <row r="27">
      <c r="A27" s="14" t="inlineStr">
        <is>
          <t>multiple inputs</t>
        </is>
      </c>
      <c r="B27" s="22" t="n">
        <v>6</v>
      </c>
      <c r="C27" s="6" t="inlineStr">
        <is>
          <t>dot, matmul</t>
        </is>
      </c>
      <c r="D27" s="14" t="inlineStr"/>
      <c r="E27" s="14" t="inlineStr"/>
      <c r="F27" s="6" t="inlineStr">
        <is>
          <t>dot and matmul read two tensors.</t>
        </is>
      </c>
    </row>
    <row r="28">
      <c r="A28" s="14" t="inlineStr">
        <is>
          <t>bitwise ops</t>
        </is>
      </c>
      <c r="B28" s="22" t="n">
        <v>3</v>
      </c>
      <c r="C28" s="6" t="inlineStr">
        <is>
          <t>life</t>
        </is>
      </c>
      <c r="D28" s="14" t="inlineStr"/>
      <c r="E28" s="14" t="inlineStr"/>
      <c r="F28" s="6" t="inlineStr"/>
    </row>
    <row r="29">
      <c r="A29" s="14" t="inlineStr">
        <is>
          <t>comparison</t>
        </is>
      </c>
      <c r="B29" s="22" t="n">
        <v>3</v>
      </c>
      <c r="C29" s="6" t="inlineStr">
        <is>
          <t>life</t>
        </is>
      </c>
      <c r="D29" s="14" t="inlineStr"/>
      <c r="E29" s="14" t="inlineStr"/>
      <c r="F29" s="6" t="inlineStr"/>
    </row>
    <row r="30">
      <c r="A30" s="14" t="inlineStr">
        <is>
          <t>select/conditional</t>
        </is>
      </c>
      <c r="B30" s="22" t="n">
        <v>3</v>
      </c>
      <c r="C30" s="6" t="inlineStr">
        <is>
          <t>life</t>
        </is>
      </c>
      <c r="D30" s="14" t="inlineStr"/>
      <c r="E30" s="14" t="inlineStr"/>
      <c r="F30" s="6" t="inlineStr">
        <is>
          <t>Game of Life; also clamps and thresholds.</t>
        </is>
      </c>
    </row>
    <row r="31">
      <c r="A31" s="14" t="inlineStr">
        <is>
          <t>permuted index reads</t>
        </is>
      </c>
      <c r="B31" s="22" t="n">
        <v>3</v>
      </c>
      <c r="C31" s="6" t="inlineStr">
        <is>
          <t>transpose</t>
        </is>
      </c>
      <c r="D31" s="14" t="inlineStr"/>
      <c r="E31" s="14" t="inlineStr"/>
      <c r="F31" s="6" t="inlineStr"/>
    </row>
    <row r="32">
      <c r="A32" s="14" t="inlineStr">
        <is>
          <t>layout plans</t>
        </is>
      </c>
      <c r="B32" s="22" t="n">
        <v>3</v>
      </c>
      <c r="C32" s="6" t="inlineStr">
        <is>
          <t>transpose</t>
        </is>
      </c>
      <c r="D32" s="14" t="inlineStr"/>
      <c r="E32" s="14" t="inlineStr"/>
      <c r="F32" s="6" t="inlineStr"/>
    </row>
    <row r="33">
      <c r="A33" s="14" t="inlineStr">
        <is>
          <t>max operator</t>
        </is>
      </c>
      <c r="B33" s="22" t="n">
        <v>3</v>
      </c>
      <c r="C33" s="6" t="inlineStr">
        <is>
          <t>maxpool2</t>
        </is>
      </c>
      <c r="D33" s="14" t="inlineStr"/>
      <c r="E33" s="14" t="inlineStr"/>
      <c r="F33" s="6" t="inlineStr"/>
    </row>
    <row r="34">
      <c r="A34" s="14" t="inlineStr">
        <is>
          <t>strided index (2*r)</t>
        </is>
      </c>
      <c r="B34" s="22" t="n">
        <v>3</v>
      </c>
      <c r="C34" s="6" t="inlineStr">
        <is>
          <t>maxpool2</t>
        </is>
      </c>
      <c r="D34" s="14" t="inlineStr"/>
      <c r="E34" s="14" t="inlineStr"/>
      <c r="F34" s="6" t="inlineStr"/>
    </row>
    <row r="35">
      <c r="A35" s="14" t="inlineStr">
        <is>
          <t>recurrence/scan syntax</t>
        </is>
      </c>
      <c r="B35" s="22" t="n">
        <v>3</v>
      </c>
      <c r="C35" s="6" t="inlineStr">
        <is>
          <t>scan</t>
        </is>
      </c>
      <c r="D35" s="14" t="inlineStr"/>
      <c r="E35" s="14" t="inlineStr"/>
      <c r="F35" s="6" t="inlineStr"/>
    </row>
    <row r="36">
      <c r="A36" s="14" t="inlineStr">
        <is>
          <t>i64 outputs</t>
        </is>
      </c>
      <c r="B36" s="22" t="n">
        <v>3</v>
      </c>
      <c r="C36" s="6" t="inlineStr">
        <is>
          <t>scan</t>
        </is>
      </c>
      <c r="D36" s="14" t="inlineStr"/>
      <c r="E36" s="14" t="inlineStr"/>
      <c r="F36" s="6" t="inlineStr"/>
    </row>
    <row r="37">
      <c r="A37" s="14" t="inlineStr">
        <is>
          <t>data-dependent indexing</t>
        </is>
      </c>
      <c r="B37" s="22" t="n">
        <v>3</v>
      </c>
      <c r="C37" s="6" t="inlineStr">
        <is>
          <t>hist</t>
        </is>
      </c>
      <c r="D37" s="14" t="inlineStr"/>
      <c r="E37" s="14" t="inlineStr"/>
      <c r="F37" s="6" t="inlineStr"/>
    </row>
    <row r="38">
      <c r="A38" s="14" t="inlineStr">
        <is>
          <t>scatter/accumulate</t>
        </is>
      </c>
      <c r="B38" s="22" t="n">
        <v>3</v>
      </c>
      <c r="C38" s="6" t="inlineStr">
        <is>
          <t>hist</t>
        </is>
      </c>
      <c r="D38" s="14" t="inlineStr"/>
      <c r="E38" s="14" t="inlineStr"/>
      <c r="F38" s="6" t="inlineStr"/>
    </row>
    <row r="39">
      <c r="A39" s="14" t="inlineStr">
        <is>
          <t>tiling plans</t>
        </is>
      </c>
      <c r="B39" s="22" t="n">
        <v>3</v>
      </c>
      <c r="C39" s="6" t="inlineStr">
        <is>
          <t>matmul</t>
        </is>
      </c>
      <c r="D39" s="14" t="inlineStr"/>
      <c r="E39" s="14" t="inlineStr"/>
      <c r="F39" s="6" t="inlineStr"/>
    </row>
  </sheetData>
  <conditionalFormatting sqref="C5:C18">
    <cfRule type="cellIs" priority="1" operator="equal" dxfId="0">
      <formula>"ok"</formula>
    </cfRule>
    <cfRule type="cellIs" priority="2" operator="equal" dxfId="1">
      <formula>"unsupported"</formula>
    </cfRule>
  </conditionalFormatting>
  <conditionalFormatting sqref="D5:D18">
    <cfRule type="cellIs" priority="3" operator="equal" dxfId="0">
      <formula>"ok"</formula>
    </cfRule>
    <cfRule type="cellIs" priority="4" operator="equal" dxfId="1">
      <formula>"unsupported"</formula>
    </cfRule>
  </conditionalFormatting>
  <conditionalFormatting sqref="E5:E18">
    <cfRule type="cellIs" priority="5" operator="equal" dxfId="0">
      <formula>"ok"</formula>
    </cfRule>
    <cfRule type="cellIs" priority="6" operator="equal" dxfId="1">
      <formula>"unsupported"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52" customWidth="1" min="5" max="5"/>
    <col width="46" customWidth="1" min="6" max="6"/>
    <col width="12" customWidth="1" min="7" max="7"/>
  </cols>
  <sheetData>
    <row r="1">
      <c r="A1" s="1" t="inlineStr">
        <is>
          <t>Where Beryl leads, where it lags, and why</t>
        </is>
      </c>
    </row>
    <row r="2">
      <c r="A2" s="2" t="inlineStr">
        <is>
          <t>Ratios are live medians from Kernel times (small size, all patterns). Confidence reflects how directly the cause was measured.</t>
        </is>
      </c>
    </row>
    <row r="4" ht="32" customHeight="1">
      <c r="A4" s="3" t="inlineStr">
        <is>
          <t>Kernel</t>
        </is>
      </c>
      <c r="B4" s="3" t="inlineStr">
        <is>
          <t>Native / C</t>
        </is>
      </c>
      <c r="C4" s="3" t="inlineStr">
        <is>
          <t>Native / Rust</t>
        </is>
      </c>
      <c r="D4" s="3" t="inlineStr">
        <is>
          <t>Verdict</t>
        </is>
      </c>
      <c r="E4" s="3" t="inlineStr">
        <is>
          <t>Why</t>
        </is>
      </c>
      <c r="F4" s="3" t="inlineStr">
        <is>
          <t>What would change it</t>
        </is>
      </c>
      <c r="G4" s="3" t="inlineStr">
        <is>
          <t>Confidence</t>
        </is>
      </c>
    </row>
    <row r="5" ht="78" customHeight="1">
      <c r="A5" s="14" t="inlineStr">
        <is>
          <t>conv3x3</t>
        </is>
      </c>
      <c r="B5" s="7">
        <f>IFERROR(AVERAGEIFS('Kernel times'!$L$5:$L$130,'Kernel times'!$A$5:$A$130,A5,'Kernel times'!$C$5:$C$130,"s"),"")</f>
        <v/>
      </c>
      <c r="C5" s="7">
        <f>IFERROR(AVERAGEIFS('Kernel times'!$M$5:$M$130,'Kernel times'!$A$5:$A$130,A5,'Kernel times'!$C$5:$C$130,"s"),"")</f>
        <v/>
      </c>
      <c r="D5" s="14">
        <f>IF(B5="","n/a",IF(B5&lt;0.95,"Lead",IF(B5&gt;1.05,"Lag","Parity")))</f>
        <v/>
      </c>
      <c r="E5" s="6" t="inlineStr">
        <is>
          <t>The planner selected rows-v1: a rolling window of 3 producer rows, so each row sum is computed once and reused by three output rows (420 vs 784 multiplications). The C baseline evaluates all nine taps per output. Shape specialization and int32 stores also help.</t>
        </is>
      </c>
      <c r="F5" s="6" t="inlineStr">
        <is>
          <t>A hand-written separable C version would close most of the gap; the lead comes from the schedule, which Beryl chose automatically and proved correct.</t>
        </is>
      </c>
      <c r="G5" s="6" t="inlineStr">
        <is>
          <t>High</t>
        </is>
      </c>
    </row>
    <row r="6" ht="78" customHeight="1">
      <c r="A6" s="14" t="inlineStr">
        <is>
          <t>sq2x2</t>
        </is>
      </c>
      <c r="B6" s="7">
        <f>IFERROR(AVERAGEIFS('Kernel times'!$L$5:$L$130,'Kernel times'!$A$5:$A$130,A6,'Kernel times'!$C$5:$C$130,"s"),"")</f>
        <v/>
      </c>
      <c r="C6" s="7">
        <f>IFERROR(AVERAGEIFS('Kernel times'!$M$5:$M$130,'Kernel times'!$A$5:$A$130,A6,'Kernel times'!$C$5:$C$130,"s"),"")</f>
        <v/>
      </c>
      <c r="D6" s="14">
        <f>IF(B6="","n/a",IF(B6&lt;0.95,"Lead",IF(B6&gt;1.05,"Lag","Parity")))</f>
        <v/>
      </c>
      <c r="E6" s="6" t="inlineStr">
        <is>
          <t>Default request uses inline-v1 (no scratch), the same algorithm as the baselines; the small lead is shape specialization and int32 outputs. With 128+ bytes the row-reuse plan runs about 2x faster than hand C (256 vs 900 multiplications).</t>
        </is>
      </c>
      <c r="F6" s="6" t="inlineStr">
        <is>
          <t>See Like-for-like: at identical terms the inline plan is about 0.9x hand C.</t>
        </is>
      </c>
      <c r="G6" s="6" t="inlineStr">
        <is>
          <t>High (hand-C control)</t>
        </is>
      </c>
    </row>
    <row r="7" ht="78" customHeight="1">
      <c r="A7" s="14" t="inlineStr">
        <is>
          <t>box3x3</t>
        </is>
      </c>
      <c r="B7" s="7">
        <f>IFERROR(AVERAGEIFS('Kernel times'!$L$5:$L$130,'Kernel times'!$A$5:$A$130,A7,'Kernel times'!$C$5:$C$130,"s"),"")</f>
        <v/>
      </c>
      <c r="C7" s="7">
        <f>IFERROR(AVERAGEIFS('Kernel times'!$M$5:$M$130,'Kernel times'!$A$5:$A$130,A7,'Kernel times'!$C$5:$C$130,"s"),"")</f>
        <v/>
      </c>
      <c r="D7" s="14">
        <f>IF(B7="","n/a",IF(B7&lt;0.95,"Lead",IF(B7&gt;1.05,"Lag","Parity")))</f>
        <v/>
      </c>
      <c r="E7" s="6" t="inlineStr">
        <is>
          <t>Separable form, but at this size the inline plan is chosen under the default objective, so the lead is mostly compile-time shape and int32 stores against runtime-sized int64 baselines.</t>
        </is>
      </c>
      <c r="F7" s="6" t="inlineStr">
        <is>
          <t>A hand-C control for this kernel would split specialization from schedule; raising the cap lets rows-v1 reuse row sums.</t>
        </is>
      </c>
      <c r="G7" s="6" t="inlineStr">
        <is>
          <t>Medium</t>
        </is>
      </c>
    </row>
    <row r="8" ht="78" customHeight="1">
      <c r="A8" s="14" t="inlineStr">
        <is>
          <t>laplace5</t>
        </is>
      </c>
      <c r="B8" s="7">
        <f>IFERROR(AVERAGEIFS('Kernel times'!$L$5:$L$130,'Kernel times'!$A$5:$A$130,A8,'Kernel times'!$C$5:$C$130,"s"),"")</f>
        <v/>
      </c>
      <c r="C8" s="7">
        <f>IFERROR(AVERAGEIFS('Kernel times'!$M$5:$M$130,'Kernel times'!$A$5:$A$130,A8,'Kernel times'!$C$5:$C$130,"s"),"")</f>
        <v/>
      </c>
      <c r="D8" s="14">
        <f>IF(B8="","n/a",IF(B8&lt;0.95,"Lead",IF(B8&gt;1.05,"Lag","Parity")))</f>
        <v/>
      </c>
      <c r="E8" s="6" t="inlineStr">
        <is>
          <t>The producer is a copy of the input, so no schedule saves work; parity-plus comes from specialization and int32.</t>
        </is>
      </c>
      <c r="F8" s="6" t="inlineStr">
        <is>
          <t>Little headroom: a memory-bound five-point stencil.</t>
        </is>
      </c>
      <c r="G8" s="6" t="inlineStr">
        <is>
          <t>Medium</t>
        </is>
      </c>
    </row>
    <row r="9" ht="78" customHeight="1">
      <c r="A9" s="14" t="inlineStr">
        <is>
          <t>stencil1d3</t>
        </is>
      </c>
      <c r="B9" s="7">
        <f>IFERROR(AVERAGEIFS('Kernel times'!$L$5:$L$130,'Kernel times'!$A$5:$A$130,A9,'Kernel times'!$C$5:$C$130,"s"),"")</f>
        <v/>
      </c>
      <c r="C9" s="7">
        <f>IFERROR(AVERAGEIFS('Kernel times'!$M$5:$M$130,'Kernel times'!$A$5:$A$130,A9,'Kernel times'!$C$5:$C$130,"s"),"")</f>
        <v/>
      </c>
      <c r="D9" s="14">
        <f>IF(B9="","n/a",IF(B9&lt;0.95,"Lead",IF(B9&gt;1.05,"Lag","Parity")))</f>
        <v/>
      </c>
      <c r="E9" s="6" t="inlineStr">
        <is>
          <t>Written as a 1 x W grid; output stage is a copy, inline is optimal. Near parity with C; slightly behind Rust on some patterns.</t>
        </is>
      </c>
      <c r="F9" s="6" t="inlineStr">
        <is>
          <t>Compact loop form (not yet available for family kernels) would shrink code and allow vectorization.</t>
        </is>
      </c>
      <c r="G9" s="6" t="inlineStr">
        <is>
          <t>Medium</t>
        </is>
      </c>
    </row>
    <row r="10" ht="78" customHeight="1">
      <c r="A10" s="14" t="inlineStr">
        <is>
          <t>polymap</t>
        </is>
      </c>
      <c r="B10" s="7">
        <f>IFERROR(AVERAGEIFS('Kernel times'!$L$5:$L$130,'Kernel times'!$A$5:$A$130,A10,'Kernel times'!$C$5:$C$130,"s"),"")</f>
        <v/>
      </c>
      <c r="C10" s="7">
        <f>IFERROR(AVERAGEIFS('Kernel times'!$M$5:$M$130,'Kernel times'!$A$5:$A$130,A10,'Kernel times'!$C$5:$C$130,"s"),"")</f>
        <v/>
      </c>
      <c r="D10" s="14">
        <f>IF(B10="","n/a",IF(B10&lt;0.95,"Lead",IF(B10&gt;1.05,"Lag","Parity")))</f>
        <v/>
      </c>
      <c r="E10" s="6" t="inlineStr">
        <is>
          <t>Lag. Family kernels lower to fully unrolled straight-line C (about 3,400 statements, 147 KB) plus a range check of all 256 inputs on every call; the C baseline is a short loop the compiler vectorizes.</t>
        </is>
      </c>
      <c r="F10" s="6" t="inlineStr">
        <is>
          <t>Extend compact loop programs to family kernels, and vectorize the input range check (min/max reduction).</t>
        </is>
      </c>
      <c r="G10" s="6" t="inlineStr">
        <is>
          <t>Medium (cause inferred from generated code; not profiled)</t>
        </is>
      </c>
    </row>
    <row r="12">
      <c r="A12" s="20" t="inlineStr">
        <is>
          <t>Cross-cutting</t>
        </is>
      </c>
    </row>
    <row r="13" ht="64" customHeight="1">
      <c r="A13" s="6" t="inlineStr">
        <is>
          <t>Interpreter (all kernels)</t>
        </is>
      </c>
      <c r="B13" s="14" t="inlineStr"/>
      <c r="C13" s="14" t="inlineStr"/>
      <c r="D13" s="14" t="inlineStr"/>
      <c r="E13" s="6" t="inlineStr">
        <is>
          <t>About 5 orders of magnitude slower than C by design: each request decodes the plan, re-proves it (fresh admission, symbolic checking of every operation) and interprets it in Python. Proof dominates; interpretation is a few ms.</t>
        </is>
      </c>
      <c r="F13" s="6" t="inlineStr">
        <is>
          <t>Cache checked plans per session by exact source and plan digest, or share source derivation across candidates (about 45 ms).</t>
        </is>
      </c>
      <c r="G13" s="14" t="inlineStr"/>
    </row>
    <row r="14" ht="64" customHeight="1">
      <c r="A14" s="6" t="inlineStr">
        <is>
          <t>Coverage (22 of 28 suite cases, 36 of 42 combinations)</t>
        </is>
      </c>
      <c r="B14" s="14" t="inlineStr"/>
      <c r="C14" s="14" t="inlineStr"/>
      <c r="D14" s="14" t="inlineStr"/>
      <c r="E14" s="6" t="inlineStr">
        <is>
          <t>All medium/large sizes exceed the 256-cell limit; 8 kernels need missing language features.</t>
        </is>
      </c>
      <c r="F14" s="6" t="inlineStr">
        <is>
          <t>See Coverage and the roadmap: reductions unlock 3 kernels; lifting the size limit unlocks 12 combinations.</t>
        </is>
      </c>
      <c r="G14" s="14" t="inlineStr"/>
    </row>
    <row r="15" ht="64" customHeight="1">
      <c r="A15" s="6" t="inlineStr">
        <is>
          <t>Cold compile (0.3-0.76 s)</t>
        </is>
      </c>
      <c r="B15" s="14" t="inlineStr"/>
      <c r="C15" s="14" t="inlineStr"/>
      <c r="D15" s="14" t="inlineStr"/>
      <c r="E15" s="6" t="inlineStr">
        <is>
          <t>About 90-110 ms Axiom check+emit, then the C compiler and linker. sq2x2 uses compact loop C and compiles in about 0.3 s; family kernels emit fully unrolled C and take 0.4-0.76 s (clang alone 230-510 ms). The C/Rust baselines build in 1.4 s / 1.8 s but once for all sizes; Beryl compiles per program and shape.</t>
        </is>
      </c>
      <c r="F15" s="6" t="inlineStr">
        <is>
          <t>Compact loops for family kernels; cache native artifacts by digest; the Wasm path needs no C compiler.</t>
        </is>
      </c>
      <c r="G15" s="14" t="inlineStr"/>
    </row>
    <row r="16" ht="64" customHeight="1">
      <c r="A16" s="6" t="inlineStr">
        <is>
          <t>Rust vs C (context)</t>
        </is>
      </c>
      <c r="B16" s="14" t="inlineStr"/>
      <c r="C16" s="14" t="inlineStr"/>
      <c r="D16" s="14" t="inlineStr"/>
      <c r="E16" s="6" t="inlineStr">
        <is>
          <t>Rust trails C on several kernels here (for example sq2x2), most likely bounds checks and the closure-based window helper in the baseline code.</t>
        </is>
      </c>
      <c r="F16" s="6" t="inlineStr">
        <is>
          <t>Not a Beryl issue; recorded so ratios against Rust are read correctly.</t>
        </is>
      </c>
      <c r="G16" s="14" t="inlineStr"/>
    </row>
  </sheetData>
  <conditionalFormatting sqref="D5:D10">
    <cfRule type="cellIs" priority="1" operator="equal" dxfId="0">
      <formula>"Lead"</formula>
    </cfRule>
    <cfRule type="cellIs" priority="2" operator="equal" dxfId="1">
      <formula>"Lag"</formula>
    </cfRule>
    <cfRule type="cellIs" priority="3" operator="equal" dxfId="2">
      <formula>"Parity"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50" customWidth="1" min="4" max="4"/>
    <col width="30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What to improve next, tied to the evidence</t>
        </is>
      </c>
    </row>
    <row r="2">
      <c r="A2" s="2" t="inlineStr">
        <is>
          <t>Impact and effort are estimates (H/M/L). Score = impact x 3 - effort, computed live.</t>
        </is>
      </c>
    </row>
    <row r="4" ht="32" customHeight="1">
      <c r="A4" s="3" t="inlineStr">
        <is>
          <t>#</t>
        </is>
      </c>
      <c r="B4" s="3" t="inlineStr">
        <is>
          <t>Improvement</t>
        </is>
      </c>
      <c r="C4" s="3" t="inlineStr">
        <is>
          <t>Area</t>
        </is>
      </c>
      <c r="D4" s="3" t="inlineStr">
        <is>
          <t>Evidence from this run</t>
        </is>
      </c>
      <c r="E4" s="3" t="inlineStr">
        <is>
          <t>Expected effect</t>
        </is>
      </c>
      <c r="F4" s="3" t="inlineStr">
        <is>
          <t>Impact (1-3)</t>
        </is>
      </c>
      <c r="G4" s="3" t="inlineStr">
        <is>
          <t>Effort (1-3)</t>
        </is>
      </c>
      <c r="H4" s="3" t="inlineStr">
        <is>
          <t>Score</t>
        </is>
      </c>
    </row>
    <row r="5" ht="48" customHeight="1">
      <c r="A5" s="14" t="n">
        <v>1</v>
      </c>
      <c r="B5" s="6" t="inlineStr">
        <is>
          <t>Compact loop programs for window-stencil kernels</t>
        </is>
      </c>
      <c r="C5" s="14" t="inlineStr">
        <is>
          <t>Native codegen</t>
        </is>
      </c>
      <c r="D5" s="6" t="inlineStr">
        <is>
          <t>polymap lags C 1.2x; family kernels emit 3,400+ unrolled statements and compile in 0.4-0.76 s vs 0.3 s for compact sq2x2.</t>
        </is>
      </c>
      <c r="E5" s="6" t="inlineStr">
        <is>
          <t>Smaller C, vectorizable loops, faster compile; likely flips polymap to a lead.</t>
        </is>
      </c>
      <c r="F5" s="22" t="n">
        <v>3</v>
      </c>
      <c r="G5" s="22" t="n">
        <v>2</v>
      </c>
      <c r="H5" s="23">
        <f>F5*3-G5</f>
        <v/>
      </c>
    </row>
    <row r="6" ht="48" customHeight="1">
      <c r="A6" s="14" t="n">
        <v>2</v>
      </c>
      <c r="B6" s="6" t="inlineStr">
        <is>
          <t>Reduction syntax (bounded fold over a literal axis) with i64 accumulators</t>
        </is>
      </c>
      <c r="C6" s="14" t="inlineStr">
        <is>
          <t>Language</t>
        </is>
      </c>
      <c r="D6" s="6" t="inlineStr">
        <is>
          <t>sum, dot, matmul unsupported at every size (9 combinations).</t>
        </is>
      </c>
      <c r="E6" s="6" t="inlineStr">
        <is>
          <t>+3 kernels at small size; opens matmul tiling plans as a new storage trade-off.</t>
        </is>
      </c>
      <c r="F6" s="22" t="n">
        <v>3</v>
      </c>
      <c r="G6" s="22" t="n">
        <v>3</v>
      </c>
      <c r="H6" s="23">
        <f>F6*3-G6</f>
        <v/>
      </c>
    </row>
    <row r="7" ht="48" customHeight="1">
      <c r="A7" s="14" t="n">
        <v>3</v>
      </c>
      <c r="B7" s="6" t="inlineStr">
        <is>
          <t>Lift the 256-cell limit (compact-loop proof gate C1/F1)</t>
        </is>
      </c>
      <c r="C7" s="14" t="inlineStr">
        <is>
          <t>Proof / scale</t>
        </is>
      </c>
      <c r="D7" s="6" t="inlineStr">
        <is>
          <t>Every medium and large case is refused: 12 combinations for already-admitted kernels.</t>
        </is>
      </c>
      <c r="E7" s="6" t="inlineStr">
        <is>
          <t>Unblocks realistic sizes; the main remaining research gate.</t>
        </is>
      </c>
      <c r="F7" s="22" t="n">
        <v>3</v>
      </c>
      <c r="G7" s="22" t="n">
        <v>3</v>
      </c>
      <c r="H7" s="23">
        <f>F7*3-G7</f>
        <v/>
      </c>
    </row>
    <row r="8" ht="48" customHeight="1">
      <c r="A8" s="14" t="n">
        <v>4</v>
      </c>
      <c r="B8" s="6" t="inlineStr">
        <is>
          <t>Vectorized input range check in generated C</t>
        </is>
      </c>
      <c r="C8" s="14" t="inlineStr">
        <is>
          <t>Native codegen</t>
        </is>
      </c>
      <c r="D8" s="6" t="inlineStr">
        <is>
          <t>Every native call scans all inputs before computing (256 compares).</t>
        </is>
      </c>
      <c r="E8" s="6" t="inlineStr">
        <is>
          <t>Small constant gain on every kernel; keeps the semantics exactly.</t>
        </is>
      </c>
      <c r="F8" s="22" t="n">
        <v>2</v>
      </c>
      <c r="G8" s="22" t="n">
        <v>1</v>
      </c>
      <c r="H8" s="23">
        <f>F8*3-G8</f>
        <v/>
      </c>
    </row>
    <row r="9" ht="48" customHeight="1">
      <c r="A9" s="14" t="n">
        <v>5</v>
      </c>
      <c r="B9" s="6" t="inlineStr">
        <is>
          <t>Hand-C controls for every admitted kernel</t>
        </is>
      </c>
      <c r="C9" s="14" t="inlineStr">
        <is>
          <t>Benchmark honesty</t>
        </is>
      </c>
      <c r="D9" s="6" t="inlineStr">
        <is>
          <t>Only sq2x2 has a like-for-like control; other leads mix schedule and specialization.</t>
        </is>
      </c>
      <c r="E9" s="6" t="inlineStr">
        <is>
          <t>Separates what Beryl chooses (schedule) from how it compiles (specialization).</t>
        </is>
      </c>
      <c r="F9" s="22" t="n">
        <v>2</v>
      </c>
      <c r="G9" s="22" t="n">
        <v>1</v>
      </c>
      <c r="H9" s="23">
        <f>F9*3-G9</f>
        <v/>
      </c>
    </row>
    <row r="10" ht="48" customHeight="1">
      <c r="A10" s="14" t="n">
        <v>6</v>
      </c>
      <c r="B10" s="6" t="inlineStr">
        <is>
          <t>Conditional/select, comparison and max operators</t>
        </is>
      </c>
      <c r="C10" s="14" t="inlineStr">
        <is>
          <t>Language</t>
        </is>
      </c>
      <c r="D10" s="6" t="inlineStr">
        <is>
          <t>life and maxpool2 not expressible (6 combinations).</t>
        </is>
      </c>
      <c r="E10" s="6" t="inlineStr">
        <is>
          <t>+2 kernels; also clamps and thresholds.</t>
        </is>
      </c>
      <c r="F10" s="22" t="n">
        <v>2</v>
      </c>
      <c r="G10" s="22" t="n">
        <v>2</v>
      </c>
      <c r="H10" s="23">
        <f>F10*3-G10</f>
        <v/>
      </c>
    </row>
    <row r="11" ht="48" customHeight="1">
      <c r="A11" s="14" t="n">
        <v>7</v>
      </c>
      <c r="B11" s="6" t="inlineStr">
        <is>
          <t>Cache checked plans per session by exact digest</t>
        </is>
      </c>
      <c r="C11" s="14" t="inlineStr">
        <is>
          <t>Interpreter</t>
        </is>
      </c>
      <c r="D11" s="6" t="inlineStr">
        <is>
          <t>Interpreter re-proves every plan per request (~250-560 ms pipeline).</t>
        </is>
      </c>
      <c r="E11" s="6" t="inlineStr">
        <is>
          <t>Repeat playground runs drop to the interpretation cost; must keep the fresh-check rule explicit.</t>
        </is>
      </c>
      <c r="F11" s="22" t="n">
        <v>2</v>
      </c>
      <c r="G11" s="22" t="n">
        <v>2</v>
      </c>
      <c r="H11" s="23">
        <f>F11*3-G11</f>
        <v/>
      </c>
    </row>
    <row r="12" ht="48" customHeight="1">
      <c r="A12" s="14" t="n">
        <v>8</v>
      </c>
      <c r="B12" s="6" t="inlineStr">
        <is>
          <t>Fix the reject_profile benchmark case</t>
        </is>
      </c>
      <c r="C12" s="14" t="inlineStr">
        <is>
          <t>Benchmark</t>
        </is>
      </c>
      <c r="D12" s="6" t="inlineStr">
        <is>
          <t>Its box3x3 example is now an admitted family member, so the case no longer measures a rejection.</t>
        </is>
      </c>
      <c r="E12" s="6" t="inlineStr">
        <is>
          <t>Restores the rejection-latency measurement.</t>
        </is>
      </c>
      <c r="F12" s="22" t="n">
        <v>1</v>
      </c>
      <c r="G12" s="22" t="n">
        <v>1</v>
      </c>
      <c r="H12" s="23">
        <f>F12*3-G12</f>
        <v/>
      </c>
    </row>
    <row r="13" ht="48" customHeight="1">
      <c r="A13" s="14" t="n">
        <v>9</v>
      </c>
      <c r="B13" s="6" t="inlineStr">
        <is>
          <t>Update public README scope text before the next release</t>
        </is>
      </c>
      <c r="C13" s="14" t="inlineStr">
        <is>
          <t>Release</t>
        </is>
      </c>
      <c r="D13" s="6" t="inlineStr">
        <is>
          <t>Generated README still says "one exact i32 two-stage stencil".</t>
        </is>
      </c>
      <c r="E13" s="6" t="inlineStr">
        <is>
          <t>Accurate public claims (your decision; nothing is published).</t>
        </is>
      </c>
      <c r="F13" s="22" t="n">
        <v>1</v>
      </c>
      <c r="G13" s="22" t="n">
        <v>1</v>
      </c>
      <c r="H13" s="23">
        <f>F13*3-G13</f>
        <v/>
      </c>
    </row>
    <row r="14" ht="48" customHeight="1">
      <c r="A14" s="14" t="n">
        <v>10</v>
      </c>
      <c r="B14" s="6" t="inlineStr">
        <is>
          <t>Allow-list the dev build folder for Windows Application Control</t>
        </is>
      </c>
      <c r="C14" s="14" t="inlineStr">
        <is>
          <t>Environment</t>
        </is>
      </c>
      <c r="D14" s="6" t="inlineStr">
        <is>
          <t>6 native runs blocked; test suite has random native failures.</t>
        </is>
      </c>
      <c r="E14" s="6" t="inlineStr">
        <is>
          <t>Complete native columns and stable tests (a machine setting for you to decide; never bypassed in code).</t>
        </is>
      </c>
      <c r="F14" s="22" t="n">
        <v>1</v>
      </c>
      <c r="G14" s="22" t="n">
        <v>1</v>
      </c>
      <c r="H14" s="23">
        <f>F14*3-G14</f>
        <v/>
      </c>
    </row>
  </sheetData>
  <conditionalFormatting sqref="H5:H14">
    <cfRule type="colorScale" priority="1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Environment, protocol and caveats</t>
        </is>
      </c>
    </row>
    <row r="3" ht="32" customHeight="1">
      <c r="A3" s="3" t="inlineStr">
        <is>
          <t>Item</t>
        </is>
      </c>
      <c r="B3" s="3" t="inlineStr">
        <is>
          <t>Detail</t>
        </is>
      </c>
    </row>
    <row r="4">
      <c r="A4" s="4" t="inlineStr">
        <is>
          <t>Run id</t>
        </is>
      </c>
      <c r="B4" s="6" t="inlineStr">
        <is>
          <t>20261019T005748Z-73191bf</t>
        </is>
      </c>
    </row>
    <row r="5">
      <c r="A5" s="4" t="inlineStr">
        <is>
          <t>Label</t>
        </is>
      </c>
      <c r="B5" s="6" t="inlineStr">
        <is>
          <t>full suite: Beryl interpreter + native vs C and Rust, s/m/l, 3 patterns</t>
        </is>
      </c>
    </row>
    <row r="6">
      <c r="A6" s="4" t="inlineStr">
        <is>
          <t>Revision</t>
        </is>
      </c>
      <c r="B6" s="6" t="inlineStr">
        <is>
          <t>73191bf224fce5022ea514f128e0b7855246bf95 on feat/bench-native (dirty)</t>
        </is>
      </c>
    </row>
    <row r="7">
      <c r="A7" s="4" t="inlineStr">
        <is>
          <t>Started (UTC)</t>
        </is>
      </c>
      <c r="B7" s="6" t="inlineStr">
        <is>
          <t>2026-10-19T00:57:48.821202+00:00</t>
        </is>
      </c>
    </row>
    <row r="8">
      <c r="A8" s="4" t="inlineStr">
        <is>
          <t>Platform</t>
        </is>
      </c>
      <c r="B8" s="6" t="inlineStr">
        <is>
          <t>Windows-11-10.0.26200-SP0</t>
        </is>
      </c>
    </row>
    <row r="9">
      <c r="A9" s="4" t="inlineStr">
        <is>
          <t>Processor</t>
        </is>
      </c>
      <c r="B9" s="6" t="inlineStr">
        <is>
          <t>AMD64 Family 23 Model 113 Stepping 0, AuthenticAMD, 8 logical CPUs</t>
        </is>
      </c>
    </row>
    <row r="10">
      <c r="A10" s="4" t="inlineStr">
        <is>
          <t>Python</t>
        </is>
      </c>
      <c r="B10" s="6" t="inlineStr">
        <is>
          <t>3.13.13</t>
        </is>
      </c>
    </row>
    <row r="11">
      <c r="A11" s="4" t="inlineStr">
        <is>
          <t>C compiler</t>
        </is>
      </c>
      <c r="B11" s="6" t="inlineStr">
        <is>
          <t>clang version 22.1.6 (https://github.com/llvm/llvm-project.git fc4aad7b5db3fff421df9a9637605b9ca5667881)</t>
        </is>
      </c>
    </row>
    <row r="12">
      <c r="A12" s="4" t="inlineStr">
        <is>
          <t>Rust compiler</t>
        </is>
      </c>
      <c r="B12" s="6" t="inlineStr">
        <is>
          <t>rustc 1.96.0 (ac68faa20 2026-05-25)</t>
        </is>
      </c>
    </row>
    <row r="13">
      <c r="A13" s="4" t="inlineStr">
        <is>
          <t>Flags</t>
        </is>
      </c>
      <c r="B13" s="6" t="inlineStr">
        <is>
          <t>C -O3 -std=c11; Rust -C opt-level=3; Beryl native: same clang and flags as C, -fno-lto</t>
        </is>
      </c>
    </row>
    <row r="14">
      <c r="A14" s="4" t="inlineStr">
        <is>
          <t>Settings</t>
        </is>
      </c>
      <c r="B14" s="6" t="inlineStr">
        <is>
          <t>min 200 ms timed per case, up to 1000 samples; sizes s, m, l; patterns hash, ramp, max</t>
        </is>
      </c>
    </row>
    <row r="15">
      <c r="A15" s="4" t="inlineStr">
        <is>
          <t>Implementations</t>
        </is>
      </c>
      <c r="B15" s="6" t="inlineStr">
        <is>
          <t>C and Rust: hand-written loops taking sizes at runtime, int64 outputs. Beryl native: compile_native_source (fresh admission, ranked checked selection, C emission) then the generated beryl_kernel, timed through the same harness protocol. Beryl interpreter: full checked pipeline (parse, admit, select with independent checking, execute with fresh re-check, independent reference); time = execute phase.</t>
        </is>
      </c>
    </row>
    <row r="16">
      <c r="A16" s="4" t="inlineStr">
        <is>
          <t>Timing</t>
        </is>
      </c>
      <c r="B16" s="6" t="inlineStr">
        <is>
          <t>Each implementation calibrates calls per sample so one sample spans &gt;= 1 ms (timer resolution here is 100 ns), takes one untimed warm-up, then reports per-call min and median.</t>
        </is>
      </c>
    </row>
    <row r="17">
      <c r="A17" s="4" t="inlineStr">
        <is>
          <t>Verification</t>
        </is>
      </c>
      <c r="B17" s="6" t="inlineStr">
        <is>
          <t>Every output is checked by count and positional checksum against bench/oracle.py, a literal NumPy-free definition. Any disagreement is logged as a mismatch and fails the run.</t>
        </is>
      </c>
    </row>
    <row r="18">
      <c r="A18" s="4" t="inlineStr">
        <is>
          <t>Blocked runs</t>
        </is>
      </c>
      <c r="B18" s="6" t="inlineStr">
        <is>
          <t>stencil1d3 s max (axiom-native); polymap s hash (axiom-native); sq2x2 sweep hash (axiom-native); sq2x2 sweep ramp (axiom-native); sq2x2 sweep ramp (axiom-native); sq2x2 sweep max (axiom-native)</t>
        </is>
      </c>
    </row>
    <row r="19">
      <c r="A19" s="4" t="inlineStr">
        <is>
          <t>Not bypassed</t>
        </is>
      </c>
      <c r="B19" s="6" t="inlineStr">
        <is>
          <t>Windows Application Control refuses some freshly built executables. The suite logs them as blocked; it never retries with altered binaries.</t>
        </is>
      </c>
    </row>
    <row r="20">
      <c r="A20" s="4" t="inlineStr">
        <is>
          <t>Caveats</t>
        </is>
      </c>
      <c r="B20" s="6" t="inlineStr">
        <is>
          <t>Single machine; small sizes are dominated by call overhead; medians vary 10-30% between runs. Generated kernels are shape-specialized with int32 outputs while baselines take runtime sizes and store int64; the hand-C control isolates that for sq2x2. Not a ranking of languages: the Beryl figures describe this revision.</t>
        </is>
      </c>
    </row>
    <row r="21">
      <c r="A21" s="4" t="inlineStr">
        <is>
          <t>Source log</t>
        </is>
      </c>
      <c r="B21" s="6" t="inlineStr">
        <is>
          <t>bench/results/20261019T005748Z-73191bf.jsonl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Flattened analysis rows (one per kernel, size and pattern)</t>
        </is>
      </c>
    </row>
    <row r="3" ht="32" customHeight="1">
      <c r="A3" s="3" t="inlineStr">
        <is>
          <t>kernel</t>
        </is>
      </c>
      <c r="B3" s="3" t="inlineStr">
        <is>
          <t>family</t>
        </is>
      </c>
      <c r="C3" s="3" t="inlineStr">
        <is>
          <t>tier</t>
        </is>
      </c>
      <c r="D3" s="3" t="inlineStr">
        <is>
          <t>pattern</t>
        </is>
      </c>
      <c r="E3" s="3" t="inlineStr">
        <is>
          <t>a</t>
        </is>
      </c>
      <c r="F3" s="3" t="inlineStr">
        <is>
          <t>b</t>
        </is>
      </c>
      <c r="G3" s="3" t="inlineStr">
        <is>
          <t>n_out</t>
        </is>
      </c>
      <c r="H3" s="3" t="inlineStr">
        <is>
          <t>c_ns</t>
        </is>
      </c>
      <c r="I3" s="3" t="inlineStr">
        <is>
          <t>rust_ns</t>
        </is>
      </c>
      <c r="J3" s="3" t="inlineStr">
        <is>
          <t>native_ns</t>
        </is>
      </c>
      <c r="K3" s="3" t="inlineStr">
        <is>
          <t>interp_ns</t>
        </is>
      </c>
      <c r="L3" s="3" t="inlineStr">
        <is>
          <t>hand_c_ns</t>
        </is>
      </c>
      <c r="M3" s="3" t="inlineStr">
        <is>
          <t>c_status</t>
        </is>
      </c>
      <c r="N3" s="3" t="inlineStr">
        <is>
          <t>rust_status</t>
        </is>
      </c>
      <c r="O3" s="3" t="inlineStr">
        <is>
          <t>native_status</t>
        </is>
      </c>
      <c r="P3" s="3" t="inlineStr">
        <is>
          <t>interp_status</t>
        </is>
      </c>
      <c r="Q3" s="3" t="inlineStr">
        <is>
          <t>native_plan</t>
        </is>
      </c>
      <c r="R3" s="3" t="inlineStr">
        <is>
          <t>native_mults</t>
        </is>
      </c>
      <c r="S3" s="3" t="inlineStr">
        <is>
          <t>native_scratch</t>
        </is>
      </c>
      <c r="T3" s="3" t="inlineStr">
        <is>
          <t>compile_ms</t>
        </is>
      </c>
      <c r="U3" s="3" t="inlineStr">
        <is>
          <t>axiom_compile_ms</t>
        </is>
      </c>
      <c r="V3" s="3" t="inlineStr">
        <is>
          <t>kernel_cc_ms</t>
        </is>
      </c>
      <c r="W3" s="3" t="inlineStr">
        <is>
          <t>link_ms</t>
        </is>
      </c>
      <c r="X3" s="3" t="inlineStr">
        <is>
          <t>pipeline_ms</t>
        </is>
      </c>
      <c r="Y3" s="3" t="inlineStr">
        <is>
          <t>diagnostic_code</t>
        </is>
      </c>
      <c r="Z3" s="3" t="inlineStr">
        <is>
          <t>verified</t>
        </is>
      </c>
    </row>
    <row r="4">
      <c r="A4" s="14" t="inlineStr">
        <is>
          <t>sq2x2</t>
        </is>
      </c>
      <c r="B4" s="14" t="inlineStr">
        <is>
          <t>stencil-2d</t>
        </is>
      </c>
      <c r="C4" s="14" t="inlineStr">
        <is>
          <t>s</t>
        </is>
      </c>
      <c r="D4" s="14" t="inlineStr">
        <is>
          <t>hash</t>
        </is>
      </c>
      <c r="E4" s="14" t="n">
        <v>15</v>
      </c>
      <c r="F4" s="14" t="n">
        <v>15</v>
      </c>
      <c r="G4" s="14" t="n">
        <v>225</v>
      </c>
      <c r="H4" s="14" t="n">
        <v>422</v>
      </c>
      <c r="I4" s="14" t="n">
        <v>878</v>
      </c>
      <c r="J4" s="14" t="n">
        <v>305</v>
      </c>
      <c r="K4" s="14" t="n">
        <v>118945500</v>
      </c>
      <c r="L4" s="14" t="n">
        <v>430</v>
      </c>
      <c r="M4" s="14" t="inlineStr">
        <is>
          <t>ok</t>
        </is>
      </c>
      <c r="N4" s="14" t="inlineStr">
        <is>
          <t>ok</t>
        </is>
      </c>
      <c r="O4" s="14" t="inlineStr">
        <is>
          <t>ok</t>
        </is>
      </c>
      <c r="P4" s="14" t="inlineStr">
        <is>
          <t>ok</t>
        </is>
      </c>
      <c r="Q4" s="14" t="inlineStr">
        <is>
          <t>inline-v1</t>
        </is>
      </c>
      <c r="R4" s="14" t="n">
        <v>900</v>
      </c>
      <c r="S4" s="14" t="n">
        <v>0</v>
      </c>
      <c r="T4" s="14" t="n">
        <v>567.2</v>
      </c>
      <c r="U4" s="14" t="n">
        <v>160</v>
      </c>
      <c r="V4" s="14" t="n">
        <v>267.6</v>
      </c>
      <c r="W4" s="14" t="n">
        <v>139.6</v>
      </c>
      <c r="X4" s="14" t="n">
        <v>391.5</v>
      </c>
      <c r="Y4" s="14" t="n"/>
      <c r="Z4" s="14" t="inlineStr">
        <is>
          <t>yes</t>
        </is>
      </c>
    </row>
    <row r="5">
      <c r="A5" s="14" t="inlineStr">
        <is>
          <t>sq2x2</t>
        </is>
      </c>
      <c r="B5" s="14" t="inlineStr">
        <is>
          <t>stencil-2d</t>
        </is>
      </c>
      <c r="C5" s="14" t="inlineStr">
        <is>
          <t>s</t>
        </is>
      </c>
      <c r="D5" s="14" t="inlineStr">
        <is>
          <t>max</t>
        </is>
      </c>
      <c r="E5" s="14" t="n">
        <v>15</v>
      </c>
      <c r="F5" s="14" t="n">
        <v>15</v>
      </c>
      <c r="G5" s="14" t="n">
        <v>225</v>
      </c>
      <c r="H5" s="14" t="n">
        <v>513</v>
      </c>
      <c r="I5" s="14" t="n">
        <v>897</v>
      </c>
      <c r="J5" s="14" t="n">
        <v>407</v>
      </c>
      <c r="K5" s="14" t="n">
        <v>129022600</v>
      </c>
      <c r="L5" s="14" t="n">
        <v>420</v>
      </c>
      <c r="M5" s="14" t="inlineStr">
        <is>
          <t>ok</t>
        </is>
      </c>
      <c r="N5" s="14" t="inlineStr">
        <is>
          <t>ok</t>
        </is>
      </c>
      <c r="O5" s="14" t="inlineStr">
        <is>
          <t>ok</t>
        </is>
      </c>
      <c r="P5" s="14" t="inlineStr">
        <is>
          <t>ok</t>
        </is>
      </c>
      <c r="Q5" s="14" t="inlineStr">
        <is>
          <t>inline-v1</t>
        </is>
      </c>
      <c r="R5" s="14" t="n">
        <v>900</v>
      </c>
      <c r="S5" s="14" t="n">
        <v>0</v>
      </c>
      <c r="T5" s="14" t="n">
        <v>367.3</v>
      </c>
      <c r="U5" s="14" t="n">
        <v>124</v>
      </c>
      <c r="V5" s="14" t="n">
        <v>151.6</v>
      </c>
      <c r="W5" s="14" t="n">
        <v>91.8</v>
      </c>
      <c r="X5" s="14" t="n">
        <v>323.7</v>
      </c>
      <c r="Y5" s="14" t="n"/>
      <c r="Z5" s="14" t="inlineStr">
        <is>
          <t>yes</t>
        </is>
      </c>
    </row>
    <row r="6">
      <c r="A6" s="14" t="inlineStr">
        <is>
          <t>sq2x2</t>
        </is>
      </c>
      <c r="B6" s="14" t="inlineStr">
        <is>
          <t>stencil-2d</t>
        </is>
      </c>
      <c r="C6" s="14" t="inlineStr">
        <is>
          <t>s</t>
        </is>
      </c>
      <c r="D6" s="14" t="inlineStr">
        <is>
          <t>ramp</t>
        </is>
      </c>
      <c r="E6" s="14" t="n">
        <v>15</v>
      </c>
      <c r="F6" s="14" t="n">
        <v>15</v>
      </c>
      <c r="G6" s="14" t="n">
        <v>225</v>
      </c>
      <c r="H6" s="14" t="n">
        <v>388</v>
      </c>
      <c r="I6" s="14" t="n">
        <v>719</v>
      </c>
      <c r="J6" s="14" t="n">
        <v>364</v>
      </c>
      <c r="K6" s="14" t="n">
        <v>118987300</v>
      </c>
      <c r="L6" s="14" t="n">
        <v>342</v>
      </c>
      <c r="M6" s="14" t="inlineStr">
        <is>
          <t>ok</t>
        </is>
      </c>
      <c r="N6" s="14" t="inlineStr">
        <is>
          <t>ok</t>
        </is>
      </c>
      <c r="O6" s="14" t="inlineStr">
        <is>
          <t>ok</t>
        </is>
      </c>
      <c r="P6" s="14" t="inlineStr">
        <is>
          <t>ok</t>
        </is>
      </c>
      <c r="Q6" s="14" t="inlineStr">
        <is>
          <t>inline-v1</t>
        </is>
      </c>
      <c r="R6" s="14" t="n">
        <v>900</v>
      </c>
      <c r="S6" s="14" t="n">
        <v>0</v>
      </c>
      <c r="T6" s="14" t="n">
        <v>410.1</v>
      </c>
      <c r="U6" s="14" t="n">
        <v>121.2</v>
      </c>
      <c r="V6" s="14" t="n">
        <v>174.3</v>
      </c>
      <c r="W6" s="14" t="n">
        <v>114.6</v>
      </c>
      <c r="X6" s="14" t="n">
        <v>325.8</v>
      </c>
      <c r="Y6" s="14" t="n"/>
      <c r="Z6" s="14" t="inlineStr">
        <is>
          <t>yes</t>
        </is>
      </c>
    </row>
    <row r="7">
      <c r="A7" s="14" t="inlineStr">
        <is>
          <t>sq2x2</t>
        </is>
      </c>
      <c r="B7" s="14" t="inlineStr">
        <is>
          <t>stencil-2d</t>
        </is>
      </c>
      <c r="C7" s="14" t="inlineStr">
        <is>
          <t>m</t>
        </is>
      </c>
      <c r="D7" s="14" t="inlineStr">
        <is>
          <t>hash</t>
        </is>
      </c>
      <c r="E7" s="14" t="n">
        <v>255</v>
      </c>
      <c r="F7" s="14" t="n">
        <v>255</v>
      </c>
      <c r="G7" s="14" t="n">
        <v>65025</v>
      </c>
      <c r="H7" s="14" t="n">
        <v>148700</v>
      </c>
      <c r="I7" s="14" t="n">
        <v>200375</v>
      </c>
      <c r="J7" s="14" t="n"/>
      <c r="K7" s="14" t="n"/>
      <c r="L7" s="14" t="n"/>
      <c r="M7" s="14" t="inlineStr">
        <is>
          <t>ok</t>
        </is>
      </c>
      <c r="N7" s="14" t="inlineStr">
        <is>
          <t>ok</t>
        </is>
      </c>
      <c r="O7" s="14" t="inlineStr">
        <is>
          <t>unsupported</t>
        </is>
      </c>
      <c r="P7" s="14" t="inlineStr">
        <is>
          <t>unsupported</t>
        </is>
      </c>
      <c r="Q7" s="14" t="n"/>
      <c r="R7" s="14" t="n"/>
      <c r="S7" s="14" t="n"/>
      <c r="T7" s="14" t="n"/>
      <c r="U7" s="14" t="n"/>
      <c r="V7" s="14" t="n"/>
      <c r="W7" s="14" t="n"/>
      <c r="X7" s="14" t="n"/>
      <c r="Y7" s="14" t="inlineStr">
        <is>
          <t>UNSUPPORTED_PROFILE</t>
        </is>
      </c>
      <c r="Z7" s="14" t="inlineStr">
        <is>
          <t>yes</t>
        </is>
      </c>
    </row>
    <row r="8">
      <c r="A8" s="14" t="inlineStr">
        <is>
          <t>sq2x2</t>
        </is>
      </c>
      <c r="B8" s="14" t="inlineStr">
        <is>
          <t>stencil-2d</t>
        </is>
      </c>
      <c r="C8" s="14" t="inlineStr">
        <is>
          <t>m</t>
        </is>
      </c>
      <c r="D8" s="14" t="inlineStr">
        <is>
          <t>max</t>
        </is>
      </c>
      <c r="E8" s="14" t="n">
        <v>255</v>
      </c>
      <c r="F8" s="14" t="n">
        <v>255</v>
      </c>
      <c r="G8" s="14" t="n">
        <v>65025</v>
      </c>
      <c r="H8" s="14" t="n">
        <v>156225</v>
      </c>
      <c r="I8" s="14" t="n">
        <v>198712</v>
      </c>
      <c r="J8" s="14" t="n"/>
      <c r="K8" s="14" t="n"/>
      <c r="L8" s="14" t="n"/>
      <c r="M8" s="14" t="inlineStr">
        <is>
          <t>ok</t>
        </is>
      </c>
      <c r="N8" s="14" t="inlineStr">
        <is>
          <t>ok</t>
        </is>
      </c>
      <c r="O8" s="14" t="inlineStr">
        <is>
          <t>unsupported</t>
        </is>
      </c>
      <c r="P8" s="14" t="inlineStr">
        <is>
          <t>unsupported</t>
        </is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inlineStr">
        <is>
          <t>UNSUPPORTED_PROFILE</t>
        </is>
      </c>
      <c r="Z8" s="14" t="inlineStr">
        <is>
          <t>yes</t>
        </is>
      </c>
    </row>
    <row r="9">
      <c r="A9" s="14" t="inlineStr">
        <is>
          <t>sq2x2</t>
        </is>
      </c>
      <c r="B9" s="14" t="inlineStr">
        <is>
          <t>stencil-2d</t>
        </is>
      </c>
      <c r="C9" s="14" t="inlineStr">
        <is>
          <t>m</t>
        </is>
      </c>
      <c r="D9" s="14" t="inlineStr">
        <is>
          <t>ramp</t>
        </is>
      </c>
      <c r="E9" s="14" t="n">
        <v>255</v>
      </c>
      <c r="F9" s="14" t="n">
        <v>255</v>
      </c>
      <c r="G9" s="14" t="n">
        <v>65025</v>
      </c>
      <c r="H9" s="14" t="n">
        <v>144312</v>
      </c>
      <c r="I9" s="14" t="n">
        <v>185712</v>
      </c>
      <c r="J9" s="14" t="n"/>
      <c r="K9" s="14" t="n"/>
      <c r="L9" s="14" t="n"/>
      <c r="M9" s="14" t="inlineStr">
        <is>
          <t>ok</t>
        </is>
      </c>
      <c r="N9" s="14" t="inlineStr">
        <is>
          <t>ok</t>
        </is>
      </c>
      <c r="O9" s="14" t="inlineStr">
        <is>
          <t>unsupported</t>
        </is>
      </c>
      <c r="P9" s="14" t="inlineStr">
        <is>
          <t>unsupported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inlineStr">
        <is>
          <t>UNSUPPORTED_PROFILE</t>
        </is>
      </c>
      <c r="Z9" s="14" t="inlineStr">
        <is>
          <t>yes</t>
        </is>
      </c>
    </row>
    <row r="10">
      <c r="A10" s="14" t="inlineStr">
        <is>
          <t>sq2x2</t>
        </is>
      </c>
      <c r="B10" s="14" t="inlineStr">
        <is>
          <t>stencil-2d</t>
        </is>
      </c>
      <c r="C10" s="14" t="inlineStr">
        <is>
          <t>l</t>
        </is>
      </c>
      <c r="D10" s="14" t="inlineStr">
        <is>
          <t>hash</t>
        </is>
      </c>
      <c r="E10" s="14" t="n">
        <v>2047</v>
      </c>
      <c r="F10" s="14" t="n">
        <v>2047</v>
      </c>
      <c r="G10" s="14" t="n">
        <v>4190209</v>
      </c>
      <c r="H10" s="14" t="n">
        <v>8373650</v>
      </c>
      <c r="I10" s="14" t="n">
        <v>12651850</v>
      </c>
      <c r="J10" s="14" t="n"/>
      <c r="K10" s="14" t="n"/>
      <c r="L10" s="14" t="n"/>
      <c r="M10" s="14" t="inlineStr">
        <is>
          <t>ok</t>
        </is>
      </c>
      <c r="N10" s="14" t="inlineStr">
        <is>
          <t>ok</t>
        </is>
      </c>
      <c r="O10" s="14" t="inlineStr">
        <is>
          <t>unsupported</t>
        </is>
      </c>
      <c r="P10" s="14" t="inlineStr">
        <is>
          <t>unsupported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inlineStr">
        <is>
          <t>UNSUPPORTED_PROFILE</t>
        </is>
      </c>
      <c r="Z10" s="14" t="inlineStr">
        <is>
          <t>yes</t>
        </is>
      </c>
    </row>
    <row r="11">
      <c r="A11" s="14" t="inlineStr">
        <is>
          <t>sq2x2</t>
        </is>
      </c>
      <c r="B11" s="14" t="inlineStr">
        <is>
          <t>stencil-2d</t>
        </is>
      </c>
      <c r="C11" s="14" t="inlineStr">
        <is>
          <t>l</t>
        </is>
      </c>
      <c r="D11" s="14" t="inlineStr">
        <is>
          <t>max</t>
        </is>
      </c>
      <c r="E11" s="14" t="n">
        <v>2047</v>
      </c>
      <c r="F11" s="14" t="n">
        <v>2047</v>
      </c>
      <c r="G11" s="14" t="n">
        <v>4190209</v>
      </c>
      <c r="H11" s="14" t="n">
        <v>10026850</v>
      </c>
      <c r="I11" s="14" t="n">
        <v>13721300</v>
      </c>
      <c r="J11" s="14" t="n"/>
      <c r="K11" s="14" t="n"/>
      <c r="L11" s="14" t="n"/>
      <c r="M11" s="14" t="inlineStr">
        <is>
          <t>ok</t>
        </is>
      </c>
      <c r="N11" s="14" t="inlineStr">
        <is>
          <t>ok</t>
        </is>
      </c>
      <c r="O11" s="14" t="inlineStr">
        <is>
          <t>unsupported</t>
        </is>
      </c>
      <c r="P11" s="14" t="inlineStr">
        <is>
          <t>unsupported</t>
        </is>
      </c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inlineStr">
        <is>
          <t>UNSUPPORTED_PROFILE</t>
        </is>
      </c>
      <c r="Z11" s="14" t="inlineStr">
        <is>
          <t>yes</t>
        </is>
      </c>
    </row>
    <row r="12">
      <c r="A12" s="14" t="inlineStr">
        <is>
          <t>sq2x2</t>
        </is>
      </c>
      <c r="B12" s="14" t="inlineStr">
        <is>
          <t>stencil-2d</t>
        </is>
      </c>
      <c r="C12" s="14" t="inlineStr">
        <is>
          <t>l</t>
        </is>
      </c>
      <c r="D12" s="14" t="inlineStr">
        <is>
          <t>ramp</t>
        </is>
      </c>
      <c r="E12" s="14" t="n">
        <v>2047</v>
      </c>
      <c r="F12" s="14" t="n">
        <v>2047</v>
      </c>
      <c r="G12" s="14" t="n">
        <v>4190209</v>
      </c>
      <c r="H12" s="14" t="n">
        <v>8003000</v>
      </c>
      <c r="I12" s="14" t="n">
        <v>13138300</v>
      </c>
      <c r="J12" s="14" t="n"/>
      <c r="K12" s="14" t="n"/>
      <c r="L12" s="14" t="n"/>
      <c r="M12" s="14" t="inlineStr">
        <is>
          <t>ok</t>
        </is>
      </c>
      <c r="N12" s="14" t="inlineStr">
        <is>
          <t>ok</t>
        </is>
      </c>
      <c r="O12" s="14" t="inlineStr">
        <is>
          <t>unsupported</t>
        </is>
      </c>
      <c r="P12" s="14" t="inlineStr">
        <is>
          <t>unsupported</t>
        </is>
      </c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inlineStr">
        <is>
          <t>UNSUPPORTED_PROFILE</t>
        </is>
      </c>
      <c r="Z12" s="14" t="inlineStr">
        <is>
          <t>yes</t>
        </is>
      </c>
    </row>
    <row r="13">
      <c r="A13" s="14" t="inlineStr">
        <is>
          <t>stencil1d3</t>
        </is>
      </c>
      <c r="B13" s="14" t="inlineStr">
        <is>
          <t>stencil-1d</t>
        </is>
      </c>
      <c r="C13" s="14" t="inlineStr">
        <is>
          <t>s</t>
        </is>
      </c>
      <c r="D13" s="14" t="inlineStr">
        <is>
          <t>hash</t>
        </is>
      </c>
      <c r="E13" s="14" t="n">
        <v>254</v>
      </c>
      <c r="F13" s="14" t="n">
        <v>0</v>
      </c>
      <c r="G13" s="14" t="n">
        <v>254</v>
      </c>
      <c r="H13" s="14" t="n">
        <v>206</v>
      </c>
      <c r="I13" s="14" t="n">
        <v>162</v>
      </c>
      <c r="J13" s="14" t="n">
        <v>164</v>
      </c>
      <c r="K13" s="14" t="n">
        <v>59255900</v>
      </c>
      <c r="L13" s="14" t="n"/>
      <c r="M13" s="14" t="inlineStr">
        <is>
          <t>ok</t>
        </is>
      </c>
      <c r="N13" s="14" t="inlineStr">
        <is>
          <t>ok</t>
        </is>
      </c>
      <c r="O13" s="14" t="inlineStr">
        <is>
          <t>ok</t>
        </is>
      </c>
      <c r="P13" s="14" t="inlineStr">
        <is>
          <t>ok</t>
        </is>
      </c>
      <c r="Q13" s="14" t="inlineStr">
        <is>
          <t>inline-v1</t>
        </is>
      </c>
      <c r="R13" s="14" t="n">
        <v>254</v>
      </c>
      <c r="S13" s="14" t="n">
        <v>0</v>
      </c>
      <c r="T13" s="14" t="n">
        <v>758.8</v>
      </c>
      <c r="U13" s="14" t="n">
        <v>104</v>
      </c>
      <c r="V13" s="14" t="n">
        <v>510.9</v>
      </c>
      <c r="W13" s="14" t="n">
        <v>143.8</v>
      </c>
      <c r="X13" s="14" t="n">
        <v>220.8</v>
      </c>
      <c r="Y13" s="14" t="n"/>
      <c r="Z13" s="14" t="inlineStr">
        <is>
          <t>yes</t>
        </is>
      </c>
    </row>
    <row r="14">
      <c r="A14" s="14" t="inlineStr">
        <is>
          <t>stencil1d3</t>
        </is>
      </c>
      <c r="B14" s="14" t="inlineStr">
        <is>
          <t>stencil-1d</t>
        </is>
      </c>
      <c r="C14" s="14" t="inlineStr">
        <is>
          <t>s</t>
        </is>
      </c>
      <c r="D14" s="14" t="inlineStr">
        <is>
          <t>max</t>
        </is>
      </c>
      <c r="E14" s="14" t="n">
        <v>254</v>
      </c>
      <c r="F14" s="14" t="n">
        <v>0</v>
      </c>
      <c r="G14" s="14" t="n">
        <v>254</v>
      </c>
      <c r="H14" s="14" t="n">
        <v>187</v>
      </c>
      <c r="I14" s="14" t="n">
        <v>205</v>
      </c>
      <c r="J14" s="14" t="n"/>
      <c r="K14" s="14" t="n">
        <v>55730500</v>
      </c>
      <c r="L14" s="14" t="n"/>
      <c r="M14" s="14" t="inlineStr">
        <is>
          <t>ok</t>
        </is>
      </c>
      <c r="N14" s="14" t="inlineStr">
        <is>
          <t>ok</t>
        </is>
      </c>
      <c r="O14" s="14" t="inlineStr">
        <is>
          <t>blocked</t>
        </is>
      </c>
      <c r="P14" s="14" t="inlineStr">
        <is>
          <t>ok</t>
        </is>
      </c>
      <c r="Q14" s="14" t="n"/>
      <c r="R14" s="14" t="n"/>
      <c r="S14" s="14" t="n"/>
      <c r="T14" s="14" t="n"/>
      <c r="U14" s="14" t="n"/>
      <c r="V14" s="14" t="n"/>
      <c r="W14" s="14" t="n"/>
      <c r="X14" s="14" t="n">
        <v>202.4</v>
      </c>
      <c r="Y14" s="14" t="inlineStr">
        <is>
          <t>OS_LAUNCH_REFUSED</t>
        </is>
      </c>
      <c r="Z14" s="14" t="inlineStr">
        <is>
          <t>yes</t>
        </is>
      </c>
    </row>
    <row r="15">
      <c r="A15" s="14" t="inlineStr">
        <is>
          <t>stencil1d3</t>
        </is>
      </c>
      <c r="B15" s="14" t="inlineStr">
        <is>
          <t>stencil-1d</t>
        </is>
      </c>
      <c r="C15" s="14" t="inlineStr">
        <is>
          <t>s</t>
        </is>
      </c>
      <c r="D15" s="14" t="inlineStr">
        <is>
          <t>ramp</t>
        </is>
      </c>
      <c r="E15" s="14" t="n">
        <v>254</v>
      </c>
      <c r="F15" s="14" t="n">
        <v>0</v>
      </c>
      <c r="G15" s="14" t="n">
        <v>254</v>
      </c>
      <c r="H15" s="14" t="n">
        <v>162</v>
      </c>
      <c r="I15" s="14" t="n">
        <v>155</v>
      </c>
      <c r="J15" s="14" t="n">
        <v>162</v>
      </c>
      <c r="K15" s="14" t="n">
        <v>44709000</v>
      </c>
      <c r="L15" s="14" t="n"/>
      <c r="M15" s="14" t="inlineStr">
        <is>
          <t>ok</t>
        </is>
      </c>
      <c r="N15" s="14" t="inlineStr">
        <is>
          <t>ok</t>
        </is>
      </c>
      <c r="O15" s="14" t="inlineStr">
        <is>
          <t>ok</t>
        </is>
      </c>
      <c r="P15" s="14" t="inlineStr">
        <is>
          <t>ok</t>
        </is>
      </c>
      <c r="Q15" s="14" t="inlineStr">
        <is>
          <t>inline-v1</t>
        </is>
      </c>
      <c r="R15" s="14" t="n">
        <v>254</v>
      </c>
      <c r="S15" s="14" t="n">
        <v>0</v>
      </c>
      <c r="T15" s="14" t="n">
        <v>404.6</v>
      </c>
      <c r="U15" s="14" t="n">
        <v>63.5</v>
      </c>
      <c r="V15" s="14" t="n">
        <v>242.5</v>
      </c>
      <c r="W15" s="14" t="n">
        <v>98.59999999999999</v>
      </c>
      <c r="X15" s="14" t="n">
        <v>181.6</v>
      </c>
      <c r="Y15" s="14" t="n"/>
      <c r="Z15" s="14" t="inlineStr">
        <is>
          <t>yes</t>
        </is>
      </c>
    </row>
    <row r="16">
      <c r="A16" s="14" t="inlineStr">
        <is>
          <t>stencil1d3</t>
        </is>
      </c>
      <c r="B16" s="14" t="inlineStr">
        <is>
          <t>stencil-1d</t>
        </is>
      </c>
      <c r="C16" s="14" t="inlineStr">
        <is>
          <t>m</t>
        </is>
      </c>
      <c r="D16" s="14" t="inlineStr">
        <is>
          <t>hash</t>
        </is>
      </c>
      <c r="E16" s="14" t="n">
        <v>65534</v>
      </c>
      <c r="F16" s="14" t="n">
        <v>0</v>
      </c>
      <c r="G16" s="14" t="n">
        <v>65534</v>
      </c>
      <c r="H16" s="14" t="n">
        <v>52643</v>
      </c>
      <c r="I16" s="14" t="n">
        <v>50351</v>
      </c>
      <c r="J16" s="14" t="n"/>
      <c r="K16" s="14" t="n"/>
      <c r="L16" s="14" t="n"/>
      <c r="M16" s="14" t="inlineStr">
        <is>
          <t>ok</t>
        </is>
      </c>
      <c r="N16" s="14" t="inlineStr">
        <is>
          <t>ok</t>
        </is>
      </c>
      <c r="O16" s="14" t="inlineStr">
        <is>
          <t>unsupported</t>
        </is>
      </c>
      <c r="P16" s="14" t="inlineStr">
        <is>
          <t>unsupported</t>
        </is>
      </c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inlineStr">
        <is>
          <t>UNSUPPORTED_PROFILE</t>
        </is>
      </c>
      <c r="Z16" s="14" t="inlineStr">
        <is>
          <t>yes</t>
        </is>
      </c>
    </row>
    <row r="17">
      <c r="A17" s="14" t="inlineStr">
        <is>
          <t>stencil1d3</t>
        </is>
      </c>
      <c r="B17" s="14" t="inlineStr">
        <is>
          <t>stencil-1d</t>
        </is>
      </c>
      <c r="C17" s="14" t="inlineStr">
        <is>
          <t>m</t>
        </is>
      </c>
      <c r="D17" s="14" t="inlineStr">
        <is>
          <t>max</t>
        </is>
      </c>
      <c r="E17" s="14" t="n">
        <v>65534</v>
      </c>
      <c r="F17" s="14" t="n">
        <v>0</v>
      </c>
      <c r="G17" s="14" t="n">
        <v>65534</v>
      </c>
      <c r="H17" s="14" t="n">
        <v>45625</v>
      </c>
      <c r="I17" s="14" t="n">
        <v>39821</v>
      </c>
      <c r="J17" s="14" t="n"/>
      <c r="K17" s="14" t="n"/>
      <c r="L17" s="14" t="n"/>
      <c r="M17" s="14" t="inlineStr">
        <is>
          <t>ok</t>
        </is>
      </c>
      <c r="N17" s="14" t="inlineStr">
        <is>
          <t>ok</t>
        </is>
      </c>
      <c r="O17" s="14" t="inlineStr">
        <is>
          <t>unsupported</t>
        </is>
      </c>
      <c r="P17" s="14" t="inlineStr">
        <is>
          <t>unsupported</t>
        </is>
      </c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inlineStr">
        <is>
          <t>UNSUPPORTED_PROFILE</t>
        </is>
      </c>
      <c r="Z17" s="14" t="inlineStr">
        <is>
          <t>yes</t>
        </is>
      </c>
    </row>
    <row r="18">
      <c r="A18" s="14" t="inlineStr">
        <is>
          <t>stencil1d3</t>
        </is>
      </c>
      <c r="B18" s="14" t="inlineStr">
        <is>
          <t>stencil-1d</t>
        </is>
      </c>
      <c r="C18" s="14" t="inlineStr">
        <is>
          <t>m</t>
        </is>
      </c>
      <c r="D18" s="14" t="inlineStr">
        <is>
          <t>ramp</t>
        </is>
      </c>
      <c r="E18" s="14" t="n">
        <v>65534</v>
      </c>
      <c r="F18" s="14" t="n">
        <v>0</v>
      </c>
      <c r="G18" s="14" t="n">
        <v>65534</v>
      </c>
      <c r="H18" s="14" t="n">
        <v>44259</v>
      </c>
      <c r="I18" s="14" t="n">
        <v>51103</v>
      </c>
      <c r="J18" s="14" t="n"/>
      <c r="K18" s="14" t="n"/>
      <c r="L18" s="14" t="n"/>
      <c r="M18" s="14" t="inlineStr">
        <is>
          <t>ok</t>
        </is>
      </c>
      <c r="N18" s="14" t="inlineStr">
        <is>
          <t>ok</t>
        </is>
      </c>
      <c r="O18" s="14" t="inlineStr">
        <is>
          <t>unsupported</t>
        </is>
      </c>
      <c r="P18" s="14" t="inlineStr">
        <is>
          <t>unsupported</t>
        </is>
      </c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inlineStr">
        <is>
          <t>UNSUPPORTED_PROFILE</t>
        </is>
      </c>
      <c r="Z18" s="14" t="inlineStr">
        <is>
          <t>yes</t>
        </is>
      </c>
    </row>
    <row r="19">
      <c r="A19" s="14" t="inlineStr">
        <is>
          <t>stencil1d3</t>
        </is>
      </c>
      <c r="B19" s="14" t="inlineStr">
        <is>
          <t>stencil-1d</t>
        </is>
      </c>
      <c r="C19" s="14" t="inlineStr">
        <is>
          <t>l</t>
        </is>
      </c>
      <c r="D19" s="14" t="inlineStr">
        <is>
          <t>hash</t>
        </is>
      </c>
      <c r="E19" s="14" t="n">
        <v>4194302</v>
      </c>
      <c r="F19" s="14" t="n">
        <v>0</v>
      </c>
      <c r="G19" s="14" t="n">
        <v>4194302</v>
      </c>
      <c r="H19" s="14" t="n">
        <v>4415300</v>
      </c>
      <c r="I19" s="14" t="n">
        <v>4491700</v>
      </c>
      <c r="J19" s="14" t="n"/>
      <c r="K19" s="14" t="n"/>
      <c r="L19" s="14" t="n"/>
      <c r="M19" s="14" t="inlineStr">
        <is>
          <t>ok</t>
        </is>
      </c>
      <c r="N19" s="14" t="inlineStr">
        <is>
          <t>ok</t>
        </is>
      </c>
      <c r="O19" s="14" t="inlineStr">
        <is>
          <t>unsupported</t>
        </is>
      </c>
      <c r="P19" s="14" t="inlineStr">
        <is>
          <t>unsupported</t>
        </is>
      </c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inlineStr">
        <is>
          <t>UNSUPPORTED_PROFILE</t>
        </is>
      </c>
      <c r="Z19" s="14" t="inlineStr">
        <is>
          <t>yes</t>
        </is>
      </c>
    </row>
    <row r="20">
      <c r="A20" s="14" t="inlineStr">
        <is>
          <t>stencil1d3</t>
        </is>
      </c>
      <c r="B20" s="14" t="inlineStr">
        <is>
          <t>stencil-1d</t>
        </is>
      </c>
      <c r="C20" s="14" t="inlineStr">
        <is>
          <t>l</t>
        </is>
      </c>
      <c r="D20" s="14" t="inlineStr">
        <is>
          <t>max</t>
        </is>
      </c>
      <c r="E20" s="14" t="n">
        <v>4194302</v>
      </c>
      <c r="F20" s="14" t="n">
        <v>0</v>
      </c>
      <c r="G20" s="14" t="n">
        <v>4194302</v>
      </c>
      <c r="H20" s="14" t="n">
        <v>5291400</v>
      </c>
      <c r="I20" s="14" t="n">
        <v>5853100</v>
      </c>
      <c r="J20" s="14" t="n"/>
      <c r="K20" s="14" t="n"/>
      <c r="L20" s="14" t="n"/>
      <c r="M20" s="14" t="inlineStr">
        <is>
          <t>ok</t>
        </is>
      </c>
      <c r="N20" s="14" t="inlineStr">
        <is>
          <t>ok</t>
        </is>
      </c>
      <c r="O20" s="14" t="inlineStr">
        <is>
          <t>unsupported</t>
        </is>
      </c>
      <c r="P20" s="14" t="inlineStr">
        <is>
          <t>unsupported</t>
        </is>
      </c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inlineStr">
        <is>
          <t>UNSUPPORTED_PROFILE</t>
        </is>
      </c>
      <c r="Z20" s="14" t="inlineStr">
        <is>
          <t>yes</t>
        </is>
      </c>
    </row>
    <row r="21">
      <c r="A21" s="14" t="inlineStr">
        <is>
          <t>stencil1d3</t>
        </is>
      </c>
      <c r="B21" s="14" t="inlineStr">
        <is>
          <t>stencil-1d</t>
        </is>
      </c>
      <c r="C21" s="14" t="inlineStr">
        <is>
          <t>l</t>
        </is>
      </c>
      <c r="D21" s="14" t="inlineStr">
        <is>
          <t>ramp</t>
        </is>
      </c>
      <c r="E21" s="14" t="n">
        <v>4194302</v>
      </c>
      <c r="F21" s="14" t="n">
        <v>0</v>
      </c>
      <c r="G21" s="14" t="n">
        <v>4194302</v>
      </c>
      <c r="H21" s="14" t="n">
        <v>4595350</v>
      </c>
      <c r="I21" s="14" t="n">
        <v>4006400</v>
      </c>
      <c r="J21" s="14" t="n"/>
      <c r="K21" s="14" t="n"/>
      <c r="L21" s="14" t="n"/>
      <c r="M21" s="14" t="inlineStr">
        <is>
          <t>ok</t>
        </is>
      </c>
      <c r="N21" s="14" t="inlineStr">
        <is>
          <t>ok</t>
        </is>
      </c>
      <c r="O21" s="14" t="inlineStr">
        <is>
          <t>unsupported</t>
        </is>
      </c>
      <c r="P21" s="14" t="inlineStr">
        <is>
          <t>unsupported</t>
        </is>
      </c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inlineStr">
        <is>
          <t>UNSUPPORTED_PROFILE</t>
        </is>
      </c>
      <c r="Z21" s="14" t="inlineStr">
        <is>
          <t>yes</t>
        </is>
      </c>
    </row>
    <row r="22">
      <c r="A22" s="14" t="inlineStr">
        <is>
          <t>box3x3</t>
        </is>
      </c>
      <c r="B22" s="14" t="inlineStr">
        <is>
          <t>stencil-2d</t>
        </is>
      </c>
      <c r="C22" s="14" t="inlineStr">
        <is>
          <t>s</t>
        </is>
      </c>
      <c r="D22" s="14" t="inlineStr">
        <is>
          <t>hash</t>
        </is>
      </c>
      <c r="E22" s="14" t="n">
        <v>14</v>
      </c>
      <c r="F22" s="14" t="n">
        <v>14</v>
      </c>
      <c r="G22" s="14" t="n">
        <v>196</v>
      </c>
      <c r="H22" s="14" t="n">
        <v>482</v>
      </c>
      <c r="I22" s="14" t="n">
        <v>502</v>
      </c>
      <c r="J22" s="14" t="n">
        <v>311</v>
      </c>
      <c r="K22" s="14" t="n">
        <v>89714900</v>
      </c>
      <c r="L22" s="14" t="n"/>
      <c r="M22" s="14" t="inlineStr">
        <is>
          <t>ok</t>
        </is>
      </c>
      <c r="N22" s="14" t="inlineStr">
        <is>
          <t>ok</t>
        </is>
      </c>
      <c r="O22" s="14" t="inlineStr">
        <is>
          <t>ok</t>
        </is>
      </c>
      <c r="P22" s="14" t="inlineStr">
        <is>
          <t>ok</t>
        </is>
      </c>
      <c r="Q22" s="14" t="inlineStr">
        <is>
          <t>inline-v1</t>
        </is>
      </c>
      <c r="R22" s="14" t="n">
        <v>0</v>
      </c>
      <c r="S22" s="14" t="n">
        <v>0</v>
      </c>
      <c r="T22" s="14" t="n">
        <v>604.4</v>
      </c>
      <c r="U22" s="14" t="n">
        <v>96.3</v>
      </c>
      <c r="V22" s="14" t="n">
        <v>402.8</v>
      </c>
      <c r="W22" s="14" t="n">
        <v>105.3</v>
      </c>
      <c r="X22" s="14" t="n">
        <v>286.1</v>
      </c>
      <c r="Y22" s="14" t="n"/>
      <c r="Z22" s="14" t="inlineStr">
        <is>
          <t>yes</t>
        </is>
      </c>
    </row>
    <row r="23">
      <c r="A23" s="14" t="inlineStr">
        <is>
          <t>box3x3</t>
        </is>
      </c>
      <c r="B23" s="14" t="inlineStr">
        <is>
          <t>stencil-2d</t>
        </is>
      </c>
      <c r="C23" s="14" t="inlineStr">
        <is>
          <t>s</t>
        </is>
      </c>
      <c r="D23" s="14" t="inlineStr">
        <is>
          <t>max</t>
        </is>
      </c>
      <c r="E23" s="14" t="n">
        <v>14</v>
      </c>
      <c r="F23" s="14" t="n">
        <v>14</v>
      </c>
      <c r="G23" s="14" t="n">
        <v>196</v>
      </c>
      <c r="H23" s="14" t="n">
        <v>346</v>
      </c>
      <c r="I23" s="14" t="n">
        <v>419</v>
      </c>
      <c r="J23" s="14" t="n">
        <v>307</v>
      </c>
      <c r="K23" s="14" t="n">
        <v>88115200</v>
      </c>
      <c r="L23" s="14" t="n"/>
      <c r="M23" s="14" t="inlineStr">
        <is>
          <t>ok</t>
        </is>
      </c>
      <c r="N23" s="14" t="inlineStr">
        <is>
          <t>ok</t>
        </is>
      </c>
      <c r="O23" s="14" t="inlineStr">
        <is>
          <t>ok</t>
        </is>
      </c>
      <c r="P23" s="14" t="inlineStr">
        <is>
          <t>ok</t>
        </is>
      </c>
      <c r="Q23" s="14" t="inlineStr">
        <is>
          <t>inline-v1</t>
        </is>
      </c>
      <c r="R23" s="14" t="n">
        <v>0</v>
      </c>
      <c r="S23" s="14" t="n">
        <v>0</v>
      </c>
      <c r="T23" s="14" t="n">
        <v>497.7</v>
      </c>
      <c r="U23" s="14" t="n">
        <v>85.5</v>
      </c>
      <c r="V23" s="14" t="n">
        <v>328.3</v>
      </c>
      <c r="W23" s="14" t="n">
        <v>83.90000000000001</v>
      </c>
      <c r="X23" s="14" t="n">
        <v>282.4</v>
      </c>
      <c r="Y23" s="14" t="n"/>
      <c r="Z23" s="14" t="inlineStr">
        <is>
          <t>yes</t>
        </is>
      </c>
    </row>
    <row r="24">
      <c r="A24" s="14" t="inlineStr">
        <is>
          <t>box3x3</t>
        </is>
      </c>
      <c r="B24" s="14" t="inlineStr">
        <is>
          <t>stencil-2d</t>
        </is>
      </c>
      <c r="C24" s="14" t="inlineStr">
        <is>
          <t>s</t>
        </is>
      </c>
      <c r="D24" s="14" t="inlineStr">
        <is>
          <t>ramp</t>
        </is>
      </c>
      <c r="E24" s="14" t="n">
        <v>14</v>
      </c>
      <c r="F24" s="14" t="n">
        <v>14</v>
      </c>
      <c r="G24" s="14" t="n">
        <v>196</v>
      </c>
      <c r="H24" s="14" t="n">
        <v>349</v>
      </c>
      <c r="I24" s="14" t="n">
        <v>506</v>
      </c>
      <c r="J24" s="14" t="n">
        <v>305</v>
      </c>
      <c r="K24" s="14" t="n">
        <v>136965400</v>
      </c>
      <c r="L24" s="14" t="n"/>
      <c r="M24" s="14" t="inlineStr">
        <is>
          <t>ok</t>
        </is>
      </c>
      <c r="N24" s="14" t="inlineStr">
        <is>
          <t>ok</t>
        </is>
      </c>
      <c r="O24" s="14" t="inlineStr">
        <is>
          <t>ok</t>
        </is>
      </c>
      <c r="P24" s="14" t="inlineStr">
        <is>
          <t>ok</t>
        </is>
      </c>
      <c r="Q24" s="14" t="inlineStr">
        <is>
          <t>inline-v1</t>
        </is>
      </c>
      <c r="R24" s="14" t="n">
        <v>0</v>
      </c>
      <c r="S24" s="14" t="n">
        <v>0</v>
      </c>
      <c r="T24" s="14" t="n">
        <v>573.4</v>
      </c>
      <c r="U24" s="14" t="n">
        <v>109.5</v>
      </c>
      <c r="V24" s="14" t="n">
        <v>371.6</v>
      </c>
      <c r="W24" s="14" t="n">
        <v>92.2</v>
      </c>
      <c r="X24" s="14" t="n">
        <v>354.9</v>
      </c>
      <c r="Y24" s="14" t="n"/>
      <c r="Z24" s="14" t="inlineStr">
        <is>
          <t>yes</t>
        </is>
      </c>
    </row>
    <row r="25">
      <c r="A25" s="14" t="inlineStr">
        <is>
          <t>box3x3</t>
        </is>
      </c>
      <c r="B25" s="14" t="inlineStr">
        <is>
          <t>stencil-2d</t>
        </is>
      </c>
      <c r="C25" s="14" t="inlineStr">
        <is>
          <t>m</t>
        </is>
      </c>
      <c r="D25" s="14" t="inlineStr">
        <is>
          <t>hash</t>
        </is>
      </c>
      <c r="E25" s="14" t="n">
        <v>254</v>
      </c>
      <c r="F25" s="14" t="n">
        <v>254</v>
      </c>
      <c r="G25" s="14" t="n">
        <v>64516</v>
      </c>
      <c r="H25" s="14" t="n">
        <v>115406</v>
      </c>
      <c r="I25" s="14" t="n">
        <v>55337</v>
      </c>
      <c r="J25" s="14" t="n"/>
      <c r="K25" s="14" t="n"/>
      <c r="L25" s="14" t="n"/>
      <c r="M25" s="14" t="inlineStr">
        <is>
          <t>ok</t>
        </is>
      </c>
      <c r="N25" s="14" t="inlineStr">
        <is>
          <t>ok</t>
        </is>
      </c>
      <c r="O25" s="14" t="inlineStr">
        <is>
          <t>unsupported</t>
        </is>
      </c>
      <c r="P25" s="14" t="inlineStr">
        <is>
          <t>unsupported</t>
        </is>
      </c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inlineStr">
        <is>
          <t>UNSUPPORTED_PROFILE</t>
        </is>
      </c>
      <c r="Z25" s="14" t="inlineStr">
        <is>
          <t>yes</t>
        </is>
      </c>
    </row>
    <row r="26">
      <c r="A26" s="14" t="inlineStr">
        <is>
          <t>box3x3</t>
        </is>
      </c>
      <c r="B26" s="14" t="inlineStr">
        <is>
          <t>stencil-2d</t>
        </is>
      </c>
      <c r="C26" s="14" t="inlineStr">
        <is>
          <t>m</t>
        </is>
      </c>
      <c r="D26" s="14" t="inlineStr">
        <is>
          <t>max</t>
        </is>
      </c>
      <c r="E26" s="14" t="n">
        <v>254</v>
      </c>
      <c r="F26" s="14" t="n">
        <v>254</v>
      </c>
      <c r="G26" s="14" t="n">
        <v>64516</v>
      </c>
      <c r="H26" s="14" t="n">
        <v>104887</v>
      </c>
      <c r="I26" s="14" t="n">
        <v>77237</v>
      </c>
      <c r="J26" s="14" t="n"/>
      <c r="K26" s="14" t="n"/>
      <c r="L26" s="14" t="n"/>
      <c r="M26" s="14" t="inlineStr">
        <is>
          <t>ok</t>
        </is>
      </c>
      <c r="N26" s="14" t="inlineStr">
        <is>
          <t>ok</t>
        </is>
      </c>
      <c r="O26" s="14" t="inlineStr">
        <is>
          <t>unsupported</t>
        </is>
      </c>
      <c r="P26" s="14" t="inlineStr">
        <is>
          <t>unsupported</t>
        </is>
      </c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inlineStr">
        <is>
          <t>UNSUPPORTED_PROFILE</t>
        </is>
      </c>
      <c r="Z26" s="14" t="inlineStr">
        <is>
          <t>yes</t>
        </is>
      </c>
    </row>
    <row r="27">
      <c r="A27" s="14" t="inlineStr">
        <is>
          <t>box3x3</t>
        </is>
      </c>
      <c r="B27" s="14" t="inlineStr">
        <is>
          <t>stencil-2d</t>
        </is>
      </c>
      <c r="C27" s="14" t="inlineStr">
        <is>
          <t>m</t>
        </is>
      </c>
      <c r="D27" s="14" t="inlineStr">
        <is>
          <t>ramp</t>
        </is>
      </c>
      <c r="E27" s="14" t="n">
        <v>254</v>
      </c>
      <c r="F27" s="14" t="n">
        <v>254</v>
      </c>
      <c r="G27" s="14" t="n">
        <v>64516</v>
      </c>
      <c r="H27" s="14" t="n">
        <v>104212</v>
      </c>
      <c r="I27" s="14" t="n">
        <v>62701</v>
      </c>
      <c r="J27" s="14" t="n"/>
      <c r="K27" s="14" t="n"/>
      <c r="L27" s="14" t="n"/>
      <c r="M27" s="14" t="inlineStr">
        <is>
          <t>ok</t>
        </is>
      </c>
      <c r="N27" s="14" t="inlineStr">
        <is>
          <t>ok</t>
        </is>
      </c>
      <c r="O27" s="14" t="inlineStr">
        <is>
          <t>unsupported</t>
        </is>
      </c>
      <c r="P27" s="14" t="inlineStr">
        <is>
          <t>unsupported</t>
        </is>
      </c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inlineStr">
        <is>
          <t>UNSUPPORTED_PROFILE</t>
        </is>
      </c>
      <c r="Z27" s="14" t="inlineStr">
        <is>
          <t>yes</t>
        </is>
      </c>
    </row>
    <row r="28">
      <c r="A28" s="14" t="inlineStr">
        <is>
          <t>box3x3</t>
        </is>
      </c>
      <c r="B28" s="14" t="inlineStr">
        <is>
          <t>stencil-2d</t>
        </is>
      </c>
      <c r="C28" s="14" t="inlineStr">
        <is>
          <t>l</t>
        </is>
      </c>
      <c r="D28" s="14" t="inlineStr">
        <is>
          <t>hash</t>
        </is>
      </c>
      <c r="E28" s="14" t="n">
        <v>2046</v>
      </c>
      <c r="F28" s="14" t="n">
        <v>2046</v>
      </c>
      <c r="G28" s="14" t="n">
        <v>4186116</v>
      </c>
      <c r="H28" s="14" t="n">
        <v>6969000</v>
      </c>
      <c r="I28" s="14" t="n">
        <v>4227100</v>
      </c>
      <c r="J28" s="14" t="n"/>
      <c r="K28" s="14" t="n"/>
      <c r="L28" s="14" t="n"/>
      <c r="M28" s="14" t="inlineStr">
        <is>
          <t>ok</t>
        </is>
      </c>
      <c r="N28" s="14" t="inlineStr">
        <is>
          <t>ok</t>
        </is>
      </c>
      <c r="O28" s="14" t="inlineStr">
        <is>
          <t>unsupported</t>
        </is>
      </c>
      <c r="P28" s="14" t="inlineStr">
        <is>
          <t>unsupported</t>
        </is>
      </c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inlineStr">
        <is>
          <t>UNSUPPORTED_PROFILE</t>
        </is>
      </c>
      <c r="Z28" s="14" t="inlineStr">
        <is>
          <t>yes</t>
        </is>
      </c>
    </row>
    <row r="29">
      <c r="A29" s="14" t="inlineStr">
        <is>
          <t>box3x3</t>
        </is>
      </c>
      <c r="B29" s="14" t="inlineStr">
        <is>
          <t>stencil-2d</t>
        </is>
      </c>
      <c r="C29" s="14" t="inlineStr">
        <is>
          <t>l</t>
        </is>
      </c>
      <c r="D29" s="14" t="inlineStr">
        <is>
          <t>max</t>
        </is>
      </c>
      <c r="E29" s="14" t="n">
        <v>2046</v>
      </c>
      <c r="F29" s="14" t="n">
        <v>2046</v>
      </c>
      <c r="G29" s="14" t="n">
        <v>4186116</v>
      </c>
      <c r="H29" s="14" t="n">
        <v>7051400</v>
      </c>
      <c r="I29" s="14" t="n">
        <v>4572500</v>
      </c>
      <c r="J29" s="14" t="n"/>
      <c r="K29" s="14" t="n"/>
      <c r="L29" s="14" t="n"/>
      <c r="M29" s="14" t="inlineStr">
        <is>
          <t>ok</t>
        </is>
      </c>
      <c r="N29" s="14" t="inlineStr">
        <is>
          <t>ok</t>
        </is>
      </c>
      <c r="O29" s="14" t="inlineStr">
        <is>
          <t>unsupported</t>
        </is>
      </c>
      <c r="P29" s="14" t="inlineStr">
        <is>
          <t>unsupported</t>
        </is>
      </c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inlineStr">
        <is>
          <t>UNSUPPORTED_PROFILE</t>
        </is>
      </c>
      <c r="Z29" s="14" t="inlineStr">
        <is>
          <t>yes</t>
        </is>
      </c>
    </row>
    <row r="30">
      <c r="A30" s="14" t="inlineStr">
        <is>
          <t>box3x3</t>
        </is>
      </c>
      <c r="B30" s="14" t="inlineStr">
        <is>
          <t>stencil-2d</t>
        </is>
      </c>
      <c r="C30" s="14" t="inlineStr">
        <is>
          <t>l</t>
        </is>
      </c>
      <c r="D30" s="14" t="inlineStr">
        <is>
          <t>ramp</t>
        </is>
      </c>
      <c r="E30" s="14" t="n">
        <v>2046</v>
      </c>
      <c r="F30" s="14" t="n">
        <v>2046</v>
      </c>
      <c r="G30" s="14" t="n">
        <v>4186116</v>
      </c>
      <c r="H30" s="14" t="n">
        <v>7203250</v>
      </c>
      <c r="I30" s="14" t="n">
        <v>4348000</v>
      </c>
      <c r="J30" s="14" t="n"/>
      <c r="K30" s="14" t="n"/>
      <c r="L30" s="14" t="n"/>
      <c r="M30" s="14" t="inlineStr">
        <is>
          <t>ok</t>
        </is>
      </c>
      <c r="N30" s="14" t="inlineStr">
        <is>
          <t>ok</t>
        </is>
      </c>
      <c r="O30" s="14" t="inlineStr">
        <is>
          <t>unsupported</t>
        </is>
      </c>
      <c r="P30" s="14" t="inlineStr">
        <is>
          <t>unsupported</t>
        </is>
      </c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inlineStr">
        <is>
          <t>UNSUPPORTED_PROFILE</t>
        </is>
      </c>
      <c r="Z30" s="14" t="inlineStr">
        <is>
          <t>yes</t>
        </is>
      </c>
    </row>
    <row r="31">
      <c r="A31" s="14" t="inlineStr">
        <is>
          <t>laplace5</t>
        </is>
      </c>
      <c r="B31" s="14" t="inlineStr">
        <is>
          <t>stencil-2d</t>
        </is>
      </c>
      <c r="C31" s="14" t="inlineStr">
        <is>
          <t>s</t>
        </is>
      </c>
      <c r="D31" s="14" t="inlineStr">
        <is>
          <t>hash</t>
        </is>
      </c>
      <c r="E31" s="14" t="n">
        <v>14</v>
      </c>
      <c r="F31" s="14" t="n">
        <v>14</v>
      </c>
      <c r="G31" s="14" t="n">
        <v>196</v>
      </c>
      <c r="H31" s="14" t="n">
        <v>227</v>
      </c>
      <c r="I31" s="14" t="n">
        <v>348</v>
      </c>
      <c r="J31" s="14" t="n">
        <v>209</v>
      </c>
      <c r="K31" s="14" t="n">
        <v>79860400</v>
      </c>
      <c r="L31" s="14" t="n"/>
      <c r="M31" s="14" t="inlineStr">
        <is>
          <t>ok</t>
        </is>
      </c>
      <c r="N31" s="14" t="inlineStr">
        <is>
          <t>ok</t>
        </is>
      </c>
      <c r="O31" s="14" t="inlineStr">
        <is>
          <t>ok</t>
        </is>
      </c>
      <c r="P31" s="14" t="inlineStr">
        <is>
          <t>ok</t>
        </is>
      </c>
      <c r="Q31" s="14" t="inlineStr">
        <is>
          <t>inline-v1</t>
        </is>
      </c>
      <c r="R31" s="14" t="n">
        <v>980</v>
      </c>
      <c r="S31" s="14" t="n">
        <v>0</v>
      </c>
      <c r="T31" s="14" t="n">
        <v>469</v>
      </c>
      <c r="U31" s="14" t="n">
        <v>101.9</v>
      </c>
      <c r="V31" s="14" t="n">
        <v>272.3</v>
      </c>
      <c r="W31" s="14" t="n">
        <v>94.8</v>
      </c>
      <c r="X31" s="14" t="n">
        <v>309.1</v>
      </c>
      <c r="Y31" s="14" t="n"/>
      <c r="Z31" s="14" t="inlineStr">
        <is>
          <t>yes</t>
        </is>
      </c>
    </row>
    <row r="32">
      <c r="A32" s="14" t="inlineStr">
        <is>
          <t>laplace5</t>
        </is>
      </c>
      <c r="B32" s="14" t="inlineStr">
        <is>
          <t>stencil-2d</t>
        </is>
      </c>
      <c r="C32" s="14" t="inlineStr">
        <is>
          <t>s</t>
        </is>
      </c>
      <c r="D32" s="14" t="inlineStr">
        <is>
          <t>max</t>
        </is>
      </c>
      <c r="E32" s="14" t="n">
        <v>14</v>
      </c>
      <c r="F32" s="14" t="n">
        <v>14</v>
      </c>
      <c r="G32" s="14" t="n">
        <v>196</v>
      </c>
      <c r="H32" s="14" t="n">
        <v>227</v>
      </c>
      <c r="I32" s="14" t="n">
        <v>349</v>
      </c>
      <c r="J32" s="14" t="n">
        <v>199</v>
      </c>
      <c r="K32" s="14" t="n">
        <v>83811000</v>
      </c>
      <c r="L32" s="14" t="n"/>
      <c r="M32" s="14" t="inlineStr">
        <is>
          <t>ok</t>
        </is>
      </c>
      <c r="N32" s="14" t="inlineStr">
        <is>
          <t>ok</t>
        </is>
      </c>
      <c r="O32" s="14" t="inlineStr">
        <is>
          <t>ok</t>
        </is>
      </c>
      <c r="P32" s="14" t="inlineStr">
        <is>
          <t>ok</t>
        </is>
      </c>
      <c r="Q32" s="14" t="inlineStr">
        <is>
          <t>inline-v1</t>
        </is>
      </c>
      <c r="R32" s="14" t="n">
        <v>980</v>
      </c>
      <c r="S32" s="14" t="n">
        <v>0</v>
      </c>
      <c r="T32" s="14" t="n">
        <v>512.9</v>
      </c>
      <c r="U32" s="14" t="n">
        <v>108.8</v>
      </c>
      <c r="V32" s="14" t="n">
        <v>311.1</v>
      </c>
      <c r="W32" s="14" t="n">
        <v>93.09999999999999</v>
      </c>
      <c r="X32" s="14" t="n">
        <v>321.9</v>
      </c>
      <c r="Y32" s="14" t="n"/>
      <c r="Z32" s="14" t="inlineStr">
        <is>
          <t>yes</t>
        </is>
      </c>
    </row>
    <row r="33">
      <c r="A33" s="14" t="inlineStr">
        <is>
          <t>laplace5</t>
        </is>
      </c>
      <c r="B33" s="14" t="inlineStr">
        <is>
          <t>stencil-2d</t>
        </is>
      </c>
      <c r="C33" s="14" t="inlineStr">
        <is>
          <t>s</t>
        </is>
      </c>
      <c r="D33" s="14" t="inlineStr">
        <is>
          <t>ramp</t>
        </is>
      </c>
      <c r="E33" s="14" t="n">
        <v>14</v>
      </c>
      <c r="F33" s="14" t="n">
        <v>14</v>
      </c>
      <c r="G33" s="14" t="n">
        <v>196</v>
      </c>
      <c r="H33" s="14" t="n">
        <v>228</v>
      </c>
      <c r="I33" s="14" t="n">
        <v>402</v>
      </c>
      <c r="J33" s="14" t="n">
        <v>197</v>
      </c>
      <c r="K33" s="14" t="n">
        <v>80631700</v>
      </c>
      <c r="L33" s="14" t="n"/>
      <c r="M33" s="14" t="inlineStr">
        <is>
          <t>ok</t>
        </is>
      </c>
      <c r="N33" s="14" t="inlineStr">
        <is>
          <t>ok</t>
        </is>
      </c>
      <c r="O33" s="14" t="inlineStr">
        <is>
          <t>ok</t>
        </is>
      </c>
      <c r="P33" s="14" t="inlineStr">
        <is>
          <t>ok</t>
        </is>
      </c>
      <c r="Q33" s="14" t="inlineStr">
        <is>
          <t>inline-v1</t>
        </is>
      </c>
      <c r="R33" s="14" t="n">
        <v>980</v>
      </c>
      <c r="S33" s="14" t="n">
        <v>0</v>
      </c>
      <c r="T33" s="14" t="n">
        <v>475.1</v>
      </c>
      <c r="U33" s="14" t="n">
        <v>101.3</v>
      </c>
      <c r="V33" s="14" t="n">
        <v>286.7</v>
      </c>
      <c r="W33" s="14" t="n">
        <v>87</v>
      </c>
      <c r="X33" s="14" t="n">
        <v>313.5</v>
      </c>
      <c r="Y33" s="14" t="n"/>
      <c r="Z33" s="14" t="inlineStr">
        <is>
          <t>yes</t>
        </is>
      </c>
    </row>
    <row r="34">
      <c r="A34" s="14" t="inlineStr">
        <is>
          <t>laplace5</t>
        </is>
      </c>
      <c r="B34" s="14" t="inlineStr">
        <is>
          <t>stencil-2d</t>
        </is>
      </c>
      <c r="C34" s="14" t="inlineStr">
        <is>
          <t>m</t>
        </is>
      </c>
      <c r="D34" s="14" t="inlineStr">
        <is>
          <t>hash</t>
        </is>
      </c>
      <c r="E34" s="14" t="n">
        <v>254</v>
      </c>
      <c r="F34" s="14" t="n">
        <v>254</v>
      </c>
      <c r="G34" s="14" t="n">
        <v>64516</v>
      </c>
      <c r="H34" s="14" t="n">
        <v>65287</v>
      </c>
      <c r="I34" s="14" t="n">
        <v>64884</v>
      </c>
      <c r="J34" s="14" t="n"/>
      <c r="K34" s="14" t="n"/>
      <c r="L34" s="14" t="n"/>
      <c r="M34" s="14" t="inlineStr">
        <is>
          <t>ok</t>
        </is>
      </c>
      <c r="N34" s="14" t="inlineStr">
        <is>
          <t>ok</t>
        </is>
      </c>
      <c r="O34" s="14" t="inlineStr">
        <is>
          <t>unsupported</t>
        </is>
      </c>
      <c r="P34" s="14" t="inlineStr">
        <is>
          <t>unsupported</t>
        </is>
      </c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inlineStr">
        <is>
          <t>UNSUPPORTED_PROFILE</t>
        </is>
      </c>
      <c r="Z34" s="14" t="inlineStr">
        <is>
          <t>yes</t>
        </is>
      </c>
    </row>
    <row r="35">
      <c r="A35" s="14" t="inlineStr">
        <is>
          <t>laplace5</t>
        </is>
      </c>
      <c r="B35" s="14" t="inlineStr">
        <is>
          <t>stencil-2d</t>
        </is>
      </c>
      <c r="C35" s="14" t="inlineStr">
        <is>
          <t>m</t>
        </is>
      </c>
      <c r="D35" s="14" t="inlineStr">
        <is>
          <t>max</t>
        </is>
      </c>
      <c r="E35" s="14" t="n">
        <v>254</v>
      </c>
      <c r="F35" s="14" t="n">
        <v>254</v>
      </c>
      <c r="G35" s="14" t="n">
        <v>64516</v>
      </c>
      <c r="H35" s="14" t="n">
        <v>65312</v>
      </c>
      <c r="I35" s="14" t="n">
        <v>64862</v>
      </c>
      <c r="J35" s="14" t="n"/>
      <c r="K35" s="14" t="n"/>
      <c r="L35" s="14" t="n"/>
      <c r="M35" s="14" t="inlineStr">
        <is>
          <t>ok</t>
        </is>
      </c>
      <c r="N35" s="14" t="inlineStr">
        <is>
          <t>ok</t>
        </is>
      </c>
      <c r="O35" s="14" t="inlineStr">
        <is>
          <t>unsupported</t>
        </is>
      </c>
      <c r="P35" s="14" t="inlineStr">
        <is>
          <t>unsupported</t>
        </is>
      </c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inlineStr">
        <is>
          <t>UNSUPPORTED_PROFILE</t>
        </is>
      </c>
      <c r="Z35" s="14" t="inlineStr">
        <is>
          <t>yes</t>
        </is>
      </c>
    </row>
    <row r="36">
      <c r="A36" s="14" t="inlineStr">
        <is>
          <t>laplace5</t>
        </is>
      </c>
      <c r="B36" s="14" t="inlineStr">
        <is>
          <t>stencil-2d</t>
        </is>
      </c>
      <c r="C36" s="14" t="inlineStr">
        <is>
          <t>m</t>
        </is>
      </c>
      <c r="D36" s="14" t="inlineStr">
        <is>
          <t>ramp</t>
        </is>
      </c>
      <c r="E36" s="14" t="n">
        <v>254</v>
      </c>
      <c r="F36" s="14" t="n">
        <v>254</v>
      </c>
      <c r="G36" s="14" t="n">
        <v>64516</v>
      </c>
      <c r="H36" s="14" t="n">
        <v>65652</v>
      </c>
      <c r="I36" s="14" t="n">
        <v>65131</v>
      </c>
      <c r="J36" s="14" t="n"/>
      <c r="K36" s="14" t="n"/>
      <c r="L36" s="14" t="n"/>
      <c r="M36" s="14" t="inlineStr">
        <is>
          <t>ok</t>
        </is>
      </c>
      <c r="N36" s="14" t="inlineStr">
        <is>
          <t>ok</t>
        </is>
      </c>
      <c r="O36" s="14" t="inlineStr">
        <is>
          <t>unsupported</t>
        </is>
      </c>
      <c r="P36" s="14" t="inlineStr">
        <is>
          <t>unsupported</t>
        </is>
      </c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inlineStr">
        <is>
          <t>UNSUPPORTED_PROFILE</t>
        </is>
      </c>
      <c r="Z36" s="14" t="inlineStr">
        <is>
          <t>yes</t>
        </is>
      </c>
    </row>
    <row r="37">
      <c r="A37" s="14" t="inlineStr">
        <is>
          <t>laplace5</t>
        </is>
      </c>
      <c r="B37" s="14" t="inlineStr">
        <is>
          <t>stencil-2d</t>
        </is>
      </c>
      <c r="C37" s="14" t="inlineStr">
        <is>
          <t>l</t>
        </is>
      </c>
      <c r="D37" s="14" t="inlineStr">
        <is>
          <t>hash</t>
        </is>
      </c>
      <c r="E37" s="14" t="n">
        <v>2046</v>
      </c>
      <c r="F37" s="14" t="n">
        <v>2046</v>
      </c>
      <c r="G37" s="14" t="n">
        <v>4186116</v>
      </c>
      <c r="H37" s="14" t="n">
        <v>4658600</v>
      </c>
      <c r="I37" s="14" t="n">
        <v>4660900</v>
      </c>
      <c r="J37" s="14" t="n"/>
      <c r="K37" s="14" t="n"/>
      <c r="L37" s="14" t="n"/>
      <c r="M37" s="14" t="inlineStr">
        <is>
          <t>ok</t>
        </is>
      </c>
      <c r="N37" s="14" t="inlineStr">
        <is>
          <t>ok</t>
        </is>
      </c>
      <c r="O37" s="14" t="inlineStr">
        <is>
          <t>unsupported</t>
        </is>
      </c>
      <c r="P37" s="14" t="inlineStr">
        <is>
          <t>unsupported</t>
        </is>
      </c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inlineStr">
        <is>
          <t>UNSUPPORTED_PROFILE</t>
        </is>
      </c>
      <c r="Z37" s="14" t="inlineStr">
        <is>
          <t>yes</t>
        </is>
      </c>
    </row>
    <row r="38">
      <c r="A38" s="14" t="inlineStr">
        <is>
          <t>laplace5</t>
        </is>
      </c>
      <c r="B38" s="14" t="inlineStr">
        <is>
          <t>stencil-2d</t>
        </is>
      </c>
      <c r="C38" s="14" t="inlineStr">
        <is>
          <t>l</t>
        </is>
      </c>
      <c r="D38" s="14" t="inlineStr">
        <is>
          <t>max</t>
        </is>
      </c>
      <c r="E38" s="14" t="n">
        <v>2046</v>
      </c>
      <c r="F38" s="14" t="n">
        <v>2046</v>
      </c>
      <c r="G38" s="14" t="n">
        <v>4186116</v>
      </c>
      <c r="H38" s="14" t="n">
        <v>8493700</v>
      </c>
      <c r="I38" s="14" t="n">
        <v>6446300</v>
      </c>
      <c r="J38" s="14" t="n"/>
      <c r="K38" s="14" t="n"/>
      <c r="L38" s="14" t="n"/>
      <c r="M38" s="14" t="inlineStr">
        <is>
          <t>ok</t>
        </is>
      </c>
      <c r="N38" s="14" t="inlineStr">
        <is>
          <t>ok</t>
        </is>
      </c>
      <c r="O38" s="14" t="inlineStr">
        <is>
          <t>unsupported</t>
        </is>
      </c>
      <c r="P38" s="14" t="inlineStr">
        <is>
          <t>unsupported</t>
        </is>
      </c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inlineStr">
        <is>
          <t>UNSUPPORTED_PROFILE</t>
        </is>
      </c>
      <c r="Z38" s="14" t="inlineStr">
        <is>
          <t>yes</t>
        </is>
      </c>
    </row>
    <row r="39">
      <c r="A39" s="14" t="inlineStr">
        <is>
          <t>laplace5</t>
        </is>
      </c>
      <c r="B39" s="14" t="inlineStr">
        <is>
          <t>stencil-2d</t>
        </is>
      </c>
      <c r="C39" s="14" t="inlineStr">
        <is>
          <t>l</t>
        </is>
      </c>
      <c r="D39" s="14" t="inlineStr">
        <is>
          <t>ramp</t>
        </is>
      </c>
      <c r="E39" s="14" t="n">
        <v>2046</v>
      </c>
      <c r="F39" s="14" t="n">
        <v>2046</v>
      </c>
      <c r="G39" s="14" t="n">
        <v>4186116</v>
      </c>
      <c r="H39" s="14" t="n">
        <v>4914650</v>
      </c>
      <c r="I39" s="14" t="n">
        <v>4754850</v>
      </c>
      <c r="J39" s="14" t="n"/>
      <c r="K39" s="14" t="n"/>
      <c r="L39" s="14" t="n"/>
      <c r="M39" s="14" t="inlineStr">
        <is>
          <t>ok</t>
        </is>
      </c>
      <c r="N39" s="14" t="inlineStr">
        <is>
          <t>ok</t>
        </is>
      </c>
      <c r="O39" s="14" t="inlineStr">
        <is>
          <t>unsupported</t>
        </is>
      </c>
      <c r="P39" s="14" t="inlineStr">
        <is>
          <t>unsupported</t>
        </is>
      </c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inlineStr">
        <is>
          <t>UNSUPPORTED_PROFILE</t>
        </is>
      </c>
      <c r="Z39" s="14" t="inlineStr">
        <is>
          <t>yes</t>
        </is>
      </c>
    </row>
    <row r="40">
      <c r="A40" s="14" t="inlineStr">
        <is>
          <t>conv3x3</t>
        </is>
      </c>
      <c r="B40" s="14" t="inlineStr">
        <is>
          <t>stencil-2d</t>
        </is>
      </c>
      <c r="C40" s="14" t="inlineStr">
        <is>
          <t>s</t>
        </is>
      </c>
      <c r="D40" s="14" t="inlineStr">
        <is>
          <t>hash</t>
        </is>
      </c>
      <c r="E40" s="14" t="n">
        <v>14</v>
      </c>
      <c r="F40" s="14" t="n">
        <v>14</v>
      </c>
      <c r="G40" s="14" t="n">
        <v>196</v>
      </c>
      <c r="H40" s="14" t="n">
        <v>530</v>
      </c>
      <c r="I40" s="14" t="n">
        <v>369</v>
      </c>
      <c r="J40" s="14" t="n">
        <v>101</v>
      </c>
      <c r="K40" s="14" t="n">
        <v>72428300</v>
      </c>
      <c r="L40" s="14" t="n"/>
      <c r="M40" s="14" t="inlineStr">
        <is>
          <t>ok</t>
        </is>
      </c>
      <c r="N40" s="14" t="inlineStr">
        <is>
          <t>ok</t>
        </is>
      </c>
      <c r="O40" s="14" t="inlineStr">
        <is>
          <t>ok</t>
        </is>
      </c>
      <c r="P40" s="14" t="inlineStr">
        <is>
          <t>ok</t>
        </is>
      </c>
      <c r="Q40" s="14" t="inlineStr">
        <is>
          <t>rows-v1</t>
        </is>
      </c>
      <c r="R40" s="14" t="n">
        <v>420</v>
      </c>
      <c r="S40" s="14" t="n">
        <v>168</v>
      </c>
      <c r="T40" s="14" t="n">
        <v>473.1</v>
      </c>
      <c r="U40" s="14" t="n">
        <v>101.5</v>
      </c>
      <c r="V40" s="14" t="n">
        <v>265.6</v>
      </c>
      <c r="W40" s="14" t="n">
        <v>106</v>
      </c>
      <c r="X40" s="14" t="n">
        <v>288.3</v>
      </c>
      <c r="Y40" s="14" t="n"/>
      <c r="Z40" s="14" t="inlineStr">
        <is>
          <t>yes</t>
        </is>
      </c>
    </row>
    <row r="41">
      <c r="A41" s="14" t="inlineStr">
        <is>
          <t>conv3x3</t>
        </is>
      </c>
      <c r="B41" s="14" t="inlineStr">
        <is>
          <t>stencil-2d</t>
        </is>
      </c>
      <c r="C41" s="14" t="inlineStr">
        <is>
          <t>s</t>
        </is>
      </c>
      <c r="D41" s="14" t="inlineStr">
        <is>
          <t>max</t>
        </is>
      </c>
      <c r="E41" s="14" t="n">
        <v>14</v>
      </c>
      <c r="F41" s="14" t="n">
        <v>14</v>
      </c>
      <c r="G41" s="14" t="n">
        <v>196</v>
      </c>
      <c r="H41" s="14" t="n">
        <v>486</v>
      </c>
      <c r="I41" s="14" t="n">
        <v>375</v>
      </c>
      <c r="J41" s="14" t="n">
        <v>101</v>
      </c>
      <c r="K41" s="14" t="n">
        <v>71339300</v>
      </c>
      <c r="L41" s="14" t="n"/>
      <c r="M41" s="14" t="inlineStr">
        <is>
          <t>ok</t>
        </is>
      </c>
      <c r="N41" s="14" t="inlineStr">
        <is>
          <t>ok</t>
        </is>
      </c>
      <c r="O41" s="14" t="inlineStr">
        <is>
          <t>ok</t>
        </is>
      </c>
      <c r="P41" s="14" t="inlineStr">
        <is>
          <t>ok</t>
        </is>
      </c>
      <c r="Q41" s="14" t="inlineStr">
        <is>
          <t>rows-v1</t>
        </is>
      </c>
      <c r="R41" s="14" t="n">
        <v>420</v>
      </c>
      <c r="S41" s="14" t="n">
        <v>168</v>
      </c>
      <c r="T41" s="14" t="n">
        <v>408.2</v>
      </c>
      <c r="U41" s="14" t="n">
        <v>95.8</v>
      </c>
      <c r="V41" s="14" t="n">
        <v>228.2</v>
      </c>
      <c r="W41" s="14" t="n">
        <v>84.2</v>
      </c>
      <c r="X41" s="14" t="n">
        <v>291.3</v>
      </c>
      <c r="Y41" s="14" t="n"/>
      <c r="Z41" s="14" t="inlineStr">
        <is>
          <t>yes</t>
        </is>
      </c>
    </row>
    <row r="42">
      <c r="A42" s="14" t="inlineStr">
        <is>
          <t>conv3x3</t>
        </is>
      </c>
      <c r="B42" s="14" t="inlineStr">
        <is>
          <t>stencil-2d</t>
        </is>
      </c>
      <c r="C42" s="14" t="inlineStr">
        <is>
          <t>s</t>
        </is>
      </c>
      <c r="D42" s="14" t="inlineStr">
        <is>
          <t>ramp</t>
        </is>
      </c>
      <c r="E42" s="14" t="n">
        <v>14</v>
      </c>
      <c r="F42" s="14" t="n">
        <v>14</v>
      </c>
      <c r="G42" s="14" t="n">
        <v>196</v>
      </c>
      <c r="H42" s="14" t="n">
        <v>488</v>
      </c>
      <c r="I42" s="14" t="n">
        <v>375</v>
      </c>
      <c r="J42" s="14" t="n">
        <v>101</v>
      </c>
      <c r="K42" s="14" t="n">
        <v>76204700</v>
      </c>
      <c r="L42" s="14" t="n"/>
      <c r="M42" s="14" t="inlineStr">
        <is>
          <t>ok</t>
        </is>
      </c>
      <c r="N42" s="14" t="inlineStr">
        <is>
          <t>ok</t>
        </is>
      </c>
      <c r="O42" s="14" t="inlineStr">
        <is>
          <t>ok</t>
        </is>
      </c>
      <c r="P42" s="14" t="inlineStr">
        <is>
          <t>ok</t>
        </is>
      </c>
      <c r="Q42" s="14" t="inlineStr">
        <is>
          <t>rows-v1</t>
        </is>
      </c>
      <c r="R42" s="14" t="n">
        <v>420</v>
      </c>
      <c r="S42" s="14" t="n">
        <v>168</v>
      </c>
      <c r="T42" s="14" t="n">
        <v>404.6</v>
      </c>
      <c r="U42" s="14" t="n">
        <v>95</v>
      </c>
      <c r="V42" s="14" t="n">
        <v>222</v>
      </c>
      <c r="W42" s="14" t="n">
        <v>87.59999999999999</v>
      </c>
      <c r="X42" s="14" t="n">
        <v>296.6</v>
      </c>
      <c r="Y42" s="14" t="n"/>
      <c r="Z42" s="14" t="inlineStr">
        <is>
          <t>yes</t>
        </is>
      </c>
    </row>
    <row r="43">
      <c r="A43" s="14" t="inlineStr">
        <is>
          <t>conv3x3</t>
        </is>
      </c>
      <c r="B43" s="14" t="inlineStr">
        <is>
          <t>stencil-2d</t>
        </is>
      </c>
      <c r="C43" s="14" t="inlineStr">
        <is>
          <t>m</t>
        </is>
      </c>
      <c r="D43" s="14" t="inlineStr">
        <is>
          <t>hash</t>
        </is>
      </c>
      <c r="E43" s="14" t="n">
        <v>254</v>
      </c>
      <c r="F43" s="14" t="n">
        <v>254</v>
      </c>
      <c r="G43" s="14" t="n">
        <v>64516</v>
      </c>
      <c r="H43" s="14" t="n">
        <v>146987</v>
      </c>
      <c r="I43" s="14" t="n">
        <v>60387</v>
      </c>
      <c r="J43" s="14" t="n"/>
      <c r="K43" s="14" t="n"/>
      <c r="L43" s="14" t="n"/>
      <c r="M43" s="14" t="inlineStr">
        <is>
          <t>ok</t>
        </is>
      </c>
      <c r="N43" s="14" t="inlineStr">
        <is>
          <t>ok</t>
        </is>
      </c>
      <c r="O43" s="14" t="inlineStr">
        <is>
          <t>unsupported</t>
        </is>
      </c>
      <c r="P43" s="14" t="inlineStr">
        <is>
          <t>unsupported</t>
        </is>
      </c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inlineStr">
        <is>
          <t>UNSUPPORTED_PROFILE</t>
        </is>
      </c>
      <c r="Z43" s="14" t="inlineStr">
        <is>
          <t>yes</t>
        </is>
      </c>
    </row>
    <row r="44">
      <c r="A44" s="14" t="inlineStr">
        <is>
          <t>conv3x3</t>
        </is>
      </c>
      <c r="B44" s="14" t="inlineStr">
        <is>
          <t>stencil-2d</t>
        </is>
      </c>
      <c r="C44" s="14" t="inlineStr">
        <is>
          <t>m</t>
        </is>
      </c>
      <c r="D44" s="14" t="inlineStr">
        <is>
          <t>max</t>
        </is>
      </c>
      <c r="E44" s="14" t="n">
        <v>254</v>
      </c>
      <c r="F44" s="14" t="n">
        <v>254</v>
      </c>
      <c r="G44" s="14" t="n">
        <v>64516</v>
      </c>
      <c r="H44" s="14" t="n">
        <v>144425</v>
      </c>
      <c r="I44" s="14" t="n">
        <v>59581</v>
      </c>
      <c r="J44" s="14" t="n"/>
      <c r="K44" s="14" t="n"/>
      <c r="L44" s="14" t="n"/>
      <c r="M44" s="14" t="inlineStr">
        <is>
          <t>ok</t>
        </is>
      </c>
      <c r="N44" s="14" t="inlineStr">
        <is>
          <t>ok</t>
        </is>
      </c>
      <c r="O44" s="14" t="inlineStr">
        <is>
          <t>unsupported</t>
        </is>
      </c>
      <c r="P44" s="14" t="inlineStr">
        <is>
          <t>unsupported</t>
        </is>
      </c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inlineStr">
        <is>
          <t>UNSUPPORTED_PROFILE</t>
        </is>
      </c>
      <c r="Z44" s="14" t="inlineStr">
        <is>
          <t>yes</t>
        </is>
      </c>
    </row>
    <row r="45">
      <c r="A45" s="14" t="inlineStr">
        <is>
          <t>conv3x3</t>
        </is>
      </c>
      <c r="B45" s="14" t="inlineStr">
        <is>
          <t>stencil-2d</t>
        </is>
      </c>
      <c r="C45" s="14" t="inlineStr">
        <is>
          <t>m</t>
        </is>
      </c>
      <c r="D45" s="14" t="inlineStr">
        <is>
          <t>ramp</t>
        </is>
      </c>
      <c r="E45" s="14" t="n">
        <v>254</v>
      </c>
      <c r="F45" s="14" t="n">
        <v>254</v>
      </c>
      <c r="G45" s="14" t="n">
        <v>64516</v>
      </c>
      <c r="H45" s="14" t="n">
        <v>146362</v>
      </c>
      <c r="I45" s="14" t="n">
        <v>60062</v>
      </c>
      <c r="J45" s="14" t="n"/>
      <c r="K45" s="14" t="n"/>
      <c r="L45" s="14" t="n"/>
      <c r="M45" s="14" t="inlineStr">
        <is>
          <t>ok</t>
        </is>
      </c>
      <c r="N45" s="14" t="inlineStr">
        <is>
          <t>ok</t>
        </is>
      </c>
      <c r="O45" s="14" t="inlineStr">
        <is>
          <t>unsupported</t>
        </is>
      </c>
      <c r="P45" s="14" t="inlineStr">
        <is>
          <t>unsupported</t>
        </is>
      </c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inlineStr">
        <is>
          <t>UNSUPPORTED_PROFILE</t>
        </is>
      </c>
      <c r="Z45" s="14" t="inlineStr">
        <is>
          <t>yes</t>
        </is>
      </c>
    </row>
    <row r="46">
      <c r="A46" s="14" t="inlineStr">
        <is>
          <t>conv3x3</t>
        </is>
      </c>
      <c r="B46" s="14" t="inlineStr">
        <is>
          <t>stencil-2d</t>
        </is>
      </c>
      <c r="C46" s="14" t="inlineStr">
        <is>
          <t>l</t>
        </is>
      </c>
      <c r="D46" s="14" t="inlineStr">
        <is>
          <t>hash</t>
        </is>
      </c>
      <c r="E46" s="14" t="n">
        <v>2046</v>
      </c>
      <c r="F46" s="14" t="n">
        <v>2046</v>
      </c>
      <c r="G46" s="14" t="n">
        <v>4186116</v>
      </c>
      <c r="H46" s="14" t="n">
        <v>9561900</v>
      </c>
      <c r="I46" s="14" t="n">
        <v>4342450</v>
      </c>
      <c r="J46" s="14" t="n"/>
      <c r="K46" s="14" t="n"/>
      <c r="L46" s="14" t="n"/>
      <c r="M46" s="14" t="inlineStr">
        <is>
          <t>ok</t>
        </is>
      </c>
      <c r="N46" s="14" t="inlineStr">
        <is>
          <t>ok</t>
        </is>
      </c>
      <c r="O46" s="14" t="inlineStr">
        <is>
          <t>unsupported</t>
        </is>
      </c>
      <c r="P46" s="14" t="inlineStr">
        <is>
          <t>unsupported</t>
        </is>
      </c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inlineStr">
        <is>
          <t>UNSUPPORTED_PROFILE</t>
        </is>
      </c>
      <c r="Z46" s="14" t="inlineStr">
        <is>
          <t>yes</t>
        </is>
      </c>
    </row>
    <row r="47">
      <c r="A47" s="14" t="inlineStr">
        <is>
          <t>conv3x3</t>
        </is>
      </c>
      <c r="B47" s="14" t="inlineStr">
        <is>
          <t>stencil-2d</t>
        </is>
      </c>
      <c r="C47" s="14" t="inlineStr">
        <is>
          <t>l</t>
        </is>
      </c>
      <c r="D47" s="14" t="inlineStr">
        <is>
          <t>max</t>
        </is>
      </c>
      <c r="E47" s="14" t="n">
        <v>2046</v>
      </c>
      <c r="F47" s="14" t="n">
        <v>2046</v>
      </c>
      <c r="G47" s="14" t="n">
        <v>4186116</v>
      </c>
      <c r="H47" s="14" t="n">
        <v>10516200</v>
      </c>
      <c r="I47" s="14" t="n">
        <v>4929200</v>
      </c>
      <c r="J47" s="14" t="n"/>
      <c r="K47" s="14" t="n"/>
      <c r="L47" s="14" t="n"/>
      <c r="M47" s="14" t="inlineStr">
        <is>
          <t>ok</t>
        </is>
      </c>
      <c r="N47" s="14" t="inlineStr">
        <is>
          <t>ok</t>
        </is>
      </c>
      <c r="O47" s="14" t="inlineStr">
        <is>
          <t>unsupported</t>
        </is>
      </c>
      <c r="P47" s="14" t="inlineStr">
        <is>
          <t>unsupported</t>
        </is>
      </c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inlineStr">
        <is>
          <t>UNSUPPORTED_PROFILE</t>
        </is>
      </c>
      <c r="Z47" s="14" t="inlineStr">
        <is>
          <t>yes</t>
        </is>
      </c>
    </row>
    <row r="48">
      <c r="A48" s="14" t="inlineStr">
        <is>
          <t>conv3x3</t>
        </is>
      </c>
      <c r="B48" s="14" t="inlineStr">
        <is>
          <t>stencil-2d</t>
        </is>
      </c>
      <c r="C48" s="14" t="inlineStr">
        <is>
          <t>l</t>
        </is>
      </c>
      <c r="D48" s="14" t="inlineStr">
        <is>
          <t>ramp</t>
        </is>
      </c>
      <c r="E48" s="14" t="n">
        <v>2046</v>
      </c>
      <c r="F48" s="14" t="n">
        <v>2046</v>
      </c>
      <c r="G48" s="14" t="n">
        <v>4186116</v>
      </c>
      <c r="H48" s="14" t="n">
        <v>9783200</v>
      </c>
      <c r="I48" s="14" t="n">
        <v>4329100</v>
      </c>
      <c r="J48" s="14" t="n"/>
      <c r="K48" s="14" t="n"/>
      <c r="L48" s="14" t="n"/>
      <c r="M48" s="14" t="inlineStr">
        <is>
          <t>ok</t>
        </is>
      </c>
      <c r="N48" s="14" t="inlineStr">
        <is>
          <t>ok</t>
        </is>
      </c>
      <c r="O48" s="14" t="inlineStr">
        <is>
          <t>unsupported</t>
        </is>
      </c>
      <c r="P48" s="14" t="inlineStr">
        <is>
          <t>unsupported</t>
        </is>
      </c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inlineStr">
        <is>
          <t>UNSUPPORTED_PROFILE</t>
        </is>
      </c>
      <c r="Z48" s="14" t="inlineStr">
        <is>
          <t>yes</t>
        </is>
      </c>
    </row>
    <row r="49">
      <c r="A49" s="14" t="inlineStr">
        <is>
          <t>life</t>
        </is>
      </c>
      <c r="B49" s="14" t="inlineStr">
        <is>
          <t>stencil-2d-cond</t>
        </is>
      </c>
      <c r="C49" s="14" t="inlineStr">
        <is>
          <t>s</t>
        </is>
      </c>
      <c r="D49" s="14" t="inlineStr">
        <is>
          <t>hash</t>
        </is>
      </c>
      <c r="E49" s="14" t="n">
        <v>14</v>
      </c>
      <c r="F49" s="14" t="n">
        <v>14</v>
      </c>
      <c r="G49" s="14" t="n">
        <v>196</v>
      </c>
      <c r="H49" s="14" t="n">
        <v>419</v>
      </c>
      <c r="I49" s="14" t="n">
        <v>716</v>
      </c>
      <c r="J49" s="14" t="n"/>
      <c r="K49" s="14" t="n"/>
      <c r="L49" s="14" t="n"/>
      <c r="M49" s="14" t="inlineStr">
        <is>
          <t>ok</t>
        </is>
      </c>
      <c r="N49" s="14" t="inlineStr">
        <is>
          <t>ok</t>
        </is>
      </c>
      <c r="O49" s="14" t="inlineStr">
        <is>
          <t>unsupported</t>
        </is>
      </c>
      <c r="P49" s="14" t="inlineStr">
        <is>
          <t>unsupported</t>
        </is>
      </c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inlineStr">
        <is>
          <t>NOT_EXPRESSIBLE</t>
        </is>
      </c>
      <c r="Z49" s="14" t="inlineStr">
        <is>
          <t>yes</t>
        </is>
      </c>
    </row>
    <row r="50">
      <c r="A50" s="14" t="inlineStr">
        <is>
          <t>life</t>
        </is>
      </c>
      <c r="B50" s="14" t="inlineStr">
        <is>
          <t>stencil-2d-cond</t>
        </is>
      </c>
      <c r="C50" s="14" t="inlineStr">
        <is>
          <t>s</t>
        </is>
      </c>
      <c r="D50" s="14" t="inlineStr">
        <is>
          <t>max</t>
        </is>
      </c>
      <c r="E50" s="14" t="n">
        <v>14</v>
      </c>
      <c r="F50" s="14" t="n">
        <v>14</v>
      </c>
      <c r="G50" s="14" t="n">
        <v>196</v>
      </c>
      <c r="H50" s="14" t="n">
        <v>413</v>
      </c>
      <c r="I50" s="14" t="n">
        <v>670</v>
      </c>
      <c r="J50" s="14" t="n"/>
      <c r="K50" s="14" t="n"/>
      <c r="L50" s="14" t="n"/>
      <c r="M50" s="14" t="inlineStr">
        <is>
          <t>ok</t>
        </is>
      </c>
      <c r="N50" s="14" t="inlineStr">
        <is>
          <t>ok</t>
        </is>
      </c>
      <c r="O50" s="14" t="inlineStr">
        <is>
          <t>unsupported</t>
        </is>
      </c>
      <c r="P50" s="14" t="inlineStr">
        <is>
          <t>unsupported</t>
        </is>
      </c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inlineStr">
        <is>
          <t>NOT_EXPRESSIBLE</t>
        </is>
      </c>
      <c r="Z50" s="14" t="inlineStr">
        <is>
          <t>yes</t>
        </is>
      </c>
    </row>
    <row r="51">
      <c r="A51" s="14" t="inlineStr">
        <is>
          <t>life</t>
        </is>
      </c>
      <c r="B51" s="14" t="inlineStr">
        <is>
          <t>stencil-2d-cond</t>
        </is>
      </c>
      <c r="C51" s="14" t="inlineStr">
        <is>
          <t>s</t>
        </is>
      </c>
      <c r="D51" s="14" t="inlineStr">
        <is>
          <t>ramp</t>
        </is>
      </c>
      <c r="E51" s="14" t="n">
        <v>14</v>
      </c>
      <c r="F51" s="14" t="n">
        <v>14</v>
      </c>
      <c r="G51" s="14" t="n">
        <v>196</v>
      </c>
      <c r="H51" s="14" t="n">
        <v>423</v>
      </c>
      <c r="I51" s="14" t="n">
        <v>700</v>
      </c>
      <c r="J51" s="14" t="n"/>
      <c r="K51" s="14" t="n"/>
      <c r="L51" s="14" t="n"/>
      <c r="M51" s="14" t="inlineStr">
        <is>
          <t>ok</t>
        </is>
      </c>
      <c r="N51" s="14" t="inlineStr">
        <is>
          <t>ok</t>
        </is>
      </c>
      <c r="O51" s="14" t="inlineStr">
        <is>
          <t>unsupported</t>
        </is>
      </c>
      <c r="P51" s="14" t="inlineStr">
        <is>
          <t>unsupported</t>
        </is>
      </c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inlineStr">
        <is>
          <t>NOT_EXPRESSIBLE</t>
        </is>
      </c>
      <c r="Z51" s="14" t="inlineStr">
        <is>
          <t>yes</t>
        </is>
      </c>
    </row>
    <row r="52">
      <c r="A52" s="14" t="inlineStr">
        <is>
          <t>life</t>
        </is>
      </c>
      <c r="B52" s="14" t="inlineStr">
        <is>
          <t>stencil-2d-cond</t>
        </is>
      </c>
      <c r="C52" s="14" t="inlineStr">
        <is>
          <t>m</t>
        </is>
      </c>
      <c r="D52" s="14" t="inlineStr">
        <is>
          <t>hash</t>
        </is>
      </c>
      <c r="E52" s="14" t="n">
        <v>254</v>
      </c>
      <c r="F52" s="14" t="n">
        <v>254</v>
      </c>
      <c r="G52" s="14" t="n">
        <v>64516</v>
      </c>
      <c r="H52" s="14" t="n">
        <v>135637</v>
      </c>
      <c r="I52" s="14" t="n">
        <v>215250</v>
      </c>
      <c r="J52" s="14" t="n"/>
      <c r="K52" s="14" t="n"/>
      <c r="L52" s="14" t="n"/>
      <c r="M52" s="14" t="inlineStr">
        <is>
          <t>ok</t>
        </is>
      </c>
      <c r="N52" s="14" t="inlineStr">
        <is>
          <t>ok</t>
        </is>
      </c>
      <c r="O52" s="14" t="inlineStr">
        <is>
          <t>unsupported</t>
        </is>
      </c>
      <c r="P52" s="14" t="inlineStr">
        <is>
          <t>unsupported</t>
        </is>
      </c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inlineStr">
        <is>
          <t>NOT_EXPRESSIBLE</t>
        </is>
      </c>
      <c r="Z52" s="14" t="inlineStr">
        <is>
          <t>yes</t>
        </is>
      </c>
    </row>
    <row r="53">
      <c r="A53" s="14" t="inlineStr">
        <is>
          <t>life</t>
        </is>
      </c>
      <c r="B53" s="14" t="inlineStr">
        <is>
          <t>stencil-2d-cond</t>
        </is>
      </c>
      <c r="C53" s="14" t="inlineStr">
        <is>
          <t>m</t>
        </is>
      </c>
      <c r="D53" s="14" t="inlineStr">
        <is>
          <t>max</t>
        </is>
      </c>
      <c r="E53" s="14" t="n">
        <v>254</v>
      </c>
      <c r="F53" s="14" t="n">
        <v>254</v>
      </c>
      <c r="G53" s="14" t="n">
        <v>64516</v>
      </c>
      <c r="H53" s="14" t="n">
        <v>133100</v>
      </c>
      <c r="I53" s="14" t="n">
        <v>209600</v>
      </c>
      <c r="J53" s="14" t="n"/>
      <c r="K53" s="14" t="n"/>
      <c r="L53" s="14" t="n"/>
      <c r="M53" s="14" t="inlineStr">
        <is>
          <t>ok</t>
        </is>
      </c>
      <c r="N53" s="14" t="inlineStr">
        <is>
          <t>ok</t>
        </is>
      </c>
      <c r="O53" s="14" t="inlineStr">
        <is>
          <t>unsupported</t>
        </is>
      </c>
      <c r="P53" s="14" t="inlineStr">
        <is>
          <t>unsupported</t>
        </is>
      </c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inlineStr">
        <is>
          <t>NOT_EXPRESSIBLE</t>
        </is>
      </c>
      <c r="Z53" s="14" t="inlineStr">
        <is>
          <t>yes</t>
        </is>
      </c>
    </row>
    <row r="54">
      <c r="A54" s="14" t="inlineStr">
        <is>
          <t>life</t>
        </is>
      </c>
      <c r="B54" s="14" t="inlineStr">
        <is>
          <t>stencil-2d-cond</t>
        </is>
      </c>
      <c r="C54" s="14" t="inlineStr">
        <is>
          <t>m</t>
        </is>
      </c>
      <c r="D54" s="14" t="inlineStr">
        <is>
          <t>ramp</t>
        </is>
      </c>
      <c r="E54" s="14" t="n">
        <v>254</v>
      </c>
      <c r="F54" s="14" t="n">
        <v>254</v>
      </c>
      <c r="G54" s="14" t="n">
        <v>64516</v>
      </c>
      <c r="H54" s="14" t="n">
        <v>148249</v>
      </c>
      <c r="I54" s="14" t="n">
        <v>215125</v>
      </c>
      <c r="J54" s="14" t="n"/>
      <c r="K54" s="14" t="n"/>
      <c r="L54" s="14" t="n"/>
      <c r="M54" s="14" t="inlineStr">
        <is>
          <t>ok</t>
        </is>
      </c>
      <c r="N54" s="14" t="inlineStr">
        <is>
          <t>ok</t>
        </is>
      </c>
      <c r="O54" s="14" t="inlineStr">
        <is>
          <t>unsupported</t>
        </is>
      </c>
      <c r="P54" s="14" t="inlineStr">
        <is>
          <t>unsupported</t>
        </is>
      </c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inlineStr">
        <is>
          <t>NOT_EXPRESSIBLE</t>
        </is>
      </c>
      <c r="Z54" s="14" t="inlineStr">
        <is>
          <t>yes</t>
        </is>
      </c>
    </row>
    <row r="55">
      <c r="A55" s="14" t="inlineStr">
        <is>
          <t>life</t>
        </is>
      </c>
      <c r="B55" s="14" t="inlineStr">
        <is>
          <t>stencil-2d-cond</t>
        </is>
      </c>
      <c r="C55" s="14" t="inlineStr">
        <is>
          <t>l</t>
        </is>
      </c>
      <c r="D55" s="14" t="inlineStr">
        <is>
          <t>hash</t>
        </is>
      </c>
      <c r="E55" s="14" t="n">
        <v>2046</v>
      </c>
      <c r="F55" s="14" t="n">
        <v>2046</v>
      </c>
      <c r="G55" s="14" t="n">
        <v>4186116</v>
      </c>
      <c r="H55" s="14" t="n">
        <v>9194050</v>
      </c>
      <c r="I55" s="14" t="n">
        <v>14478950</v>
      </c>
      <c r="J55" s="14" t="n"/>
      <c r="K55" s="14" t="n"/>
      <c r="L55" s="14" t="n"/>
      <c r="M55" s="14" t="inlineStr">
        <is>
          <t>ok</t>
        </is>
      </c>
      <c r="N55" s="14" t="inlineStr">
        <is>
          <t>ok</t>
        </is>
      </c>
      <c r="O55" s="14" t="inlineStr">
        <is>
          <t>unsupported</t>
        </is>
      </c>
      <c r="P55" s="14" t="inlineStr">
        <is>
          <t>unsupported</t>
        </is>
      </c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inlineStr">
        <is>
          <t>NOT_EXPRESSIBLE</t>
        </is>
      </c>
      <c r="Z55" s="14" t="inlineStr">
        <is>
          <t>yes</t>
        </is>
      </c>
    </row>
    <row r="56">
      <c r="A56" s="14" t="inlineStr">
        <is>
          <t>life</t>
        </is>
      </c>
      <c r="B56" s="14" t="inlineStr">
        <is>
          <t>stencil-2d-cond</t>
        </is>
      </c>
      <c r="C56" s="14" t="inlineStr">
        <is>
          <t>l</t>
        </is>
      </c>
      <c r="D56" s="14" t="inlineStr">
        <is>
          <t>max</t>
        </is>
      </c>
      <c r="E56" s="14" t="n">
        <v>2046</v>
      </c>
      <c r="F56" s="14" t="n">
        <v>2046</v>
      </c>
      <c r="G56" s="14" t="n">
        <v>4186116</v>
      </c>
      <c r="H56" s="14" t="n">
        <v>9215400</v>
      </c>
      <c r="I56" s="14" t="n">
        <v>14245700</v>
      </c>
      <c r="J56" s="14" t="n"/>
      <c r="K56" s="14" t="n"/>
      <c r="L56" s="14" t="n"/>
      <c r="M56" s="14" t="inlineStr">
        <is>
          <t>ok</t>
        </is>
      </c>
      <c r="N56" s="14" t="inlineStr">
        <is>
          <t>ok</t>
        </is>
      </c>
      <c r="O56" s="14" t="inlineStr">
        <is>
          <t>unsupported</t>
        </is>
      </c>
      <c r="P56" s="14" t="inlineStr">
        <is>
          <t>unsupported</t>
        </is>
      </c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inlineStr">
        <is>
          <t>NOT_EXPRESSIBLE</t>
        </is>
      </c>
      <c r="Z56" s="14" t="inlineStr">
        <is>
          <t>yes</t>
        </is>
      </c>
    </row>
    <row r="57">
      <c r="A57" s="14" t="inlineStr">
        <is>
          <t>life</t>
        </is>
      </c>
      <c r="B57" s="14" t="inlineStr">
        <is>
          <t>stencil-2d-cond</t>
        </is>
      </c>
      <c r="C57" s="14" t="inlineStr">
        <is>
          <t>l</t>
        </is>
      </c>
      <c r="D57" s="14" t="inlineStr">
        <is>
          <t>ramp</t>
        </is>
      </c>
      <c r="E57" s="14" t="n">
        <v>2046</v>
      </c>
      <c r="F57" s="14" t="n">
        <v>2046</v>
      </c>
      <c r="G57" s="14" t="n">
        <v>4186116</v>
      </c>
      <c r="H57" s="14" t="n">
        <v>9279100</v>
      </c>
      <c r="I57" s="14" t="n">
        <v>14424400</v>
      </c>
      <c r="J57" s="14" t="n"/>
      <c r="K57" s="14" t="n"/>
      <c r="L57" s="14" t="n"/>
      <c r="M57" s="14" t="inlineStr">
        <is>
          <t>ok</t>
        </is>
      </c>
      <c r="N57" s="14" t="inlineStr">
        <is>
          <t>ok</t>
        </is>
      </c>
      <c r="O57" s="14" t="inlineStr">
        <is>
          <t>unsupported</t>
        </is>
      </c>
      <c r="P57" s="14" t="inlineStr">
        <is>
          <t>unsupported</t>
        </is>
      </c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inlineStr">
        <is>
          <t>NOT_EXPRESSIBLE</t>
        </is>
      </c>
      <c r="Z57" s="14" t="inlineStr">
        <is>
          <t>yes</t>
        </is>
      </c>
    </row>
    <row r="58">
      <c r="A58" s="14" t="inlineStr">
        <is>
          <t>polymap</t>
        </is>
      </c>
      <c r="B58" s="14" t="inlineStr">
        <is>
          <t>elementwise</t>
        </is>
      </c>
      <c r="C58" s="14" t="inlineStr">
        <is>
          <t>s</t>
        </is>
      </c>
      <c r="D58" s="14" t="inlineStr">
        <is>
          <t>hash</t>
        </is>
      </c>
      <c r="E58" s="14" t="n">
        <v>256</v>
      </c>
      <c r="F58" s="14" t="n">
        <v>0</v>
      </c>
      <c r="G58" s="14" t="n">
        <v>256</v>
      </c>
      <c r="H58" s="14" t="n">
        <v>181</v>
      </c>
      <c r="I58" s="14" t="n">
        <v>262</v>
      </c>
      <c r="J58" s="14" t="n"/>
      <c r="K58" s="14" t="n">
        <v>52431800</v>
      </c>
      <c r="L58" s="14" t="n"/>
      <c r="M58" s="14" t="inlineStr">
        <is>
          <t>ok</t>
        </is>
      </c>
      <c r="N58" s="14" t="inlineStr">
        <is>
          <t>ok</t>
        </is>
      </c>
      <c r="O58" s="14" t="inlineStr">
        <is>
          <t>blocked</t>
        </is>
      </c>
      <c r="P58" s="14" t="inlineStr">
        <is>
          <t>ok</t>
        </is>
      </c>
      <c r="Q58" s="14" t="n"/>
      <c r="R58" s="14" t="n"/>
      <c r="S58" s="14" t="n"/>
      <c r="T58" s="14" t="n"/>
      <c r="U58" s="14" t="n"/>
      <c r="V58" s="14" t="n"/>
      <c r="W58" s="14" t="n"/>
      <c r="X58" s="14" t="n">
        <v>216.5</v>
      </c>
      <c r="Y58" s="14" t="inlineStr">
        <is>
          <t>OS_LAUNCH_REFUSED</t>
        </is>
      </c>
      <c r="Z58" s="14" t="inlineStr">
        <is>
          <t>yes</t>
        </is>
      </c>
    </row>
    <row r="59">
      <c r="A59" s="14" t="inlineStr">
        <is>
          <t>polymap</t>
        </is>
      </c>
      <c r="B59" s="14" t="inlineStr">
        <is>
          <t>elementwise</t>
        </is>
      </c>
      <c r="C59" s="14" t="inlineStr">
        <is>
          <t>s</t>
        </is>
      </c>
      <c r="D59" s="14" t="inlineStr">
        <is>
          <t>max</t>
        </is>
      </c>
      <c r="E59" s="14" t="n">
        <v>256</v>
      </c>
      <c r="F59" s="14" t="n">
        <v>0</v>
      </c>
      <c r="G59" s="14" t="n">
        <v>256</v>
      </c>
      <c r="H59" s="14" t="n">
        <v>179</v>
      </c>
      <c r="I59" s="14" t="n">
        <v>262</v>
      </c>
      <c r="J59" s="14" t="n">
        <v>202</v>
      </c>
      <c r="K59" s="14" t="n">
        <v>52308600</v>
      </c>
      <c r="L59" s="14" t="n"/>
      <c r="M59" s="14" t="inlineStr">
        <is>
          <t>ok</t>
        </is>
      </c>
      <c r="N59" s="14" t="inlineStr">
        <is>
          <t>ok</t>
        </is>
      </c>
      <c r="O59" s="14" t="inlineStr">
        <is>
          <t>ok</t>
        </is>
      </c>
      <c r="P59" s="14" t="inlineStr">
        <is>
          <t>ok</t>
        </is>
      </c>
      <c r="Q59" s="14" t="inlineStr">
        <is>
          <t>inline-v1</t>
        </is>
      </c>
      <c r="R59" s="14" t="n">
        <v>768</v>
      </c>
      <c r="S59" s="14" t="n">
        <v>0</v>
      </c>
      <c r="T59" s="14" t="n">
        <v>446.5</v>
      </c>
      <c r="U59" s="14" t="n">
        <v>79.09999999999999</v>
      </c>
      <c r="V59" s="14" t="n">
        <v>265.9</v>
      </c>
      <c r="W59" s="14" t="n">
        <v>101.5</v>
      </c>
      <c r="X59" s="14" t="n">
        <v>217.3</v>
      </c>
      <c r="Y59" s="14" t="n"/>
      <c r="Z59" s="14" t="inlineStr">
        <is>
          <t>yes</t>
        </is>
      </c>
    </row>
    <row r="60">
      <c r="A60" s="14" t="inlineStr">
        <is>
          <t>polymap</t>
        </is>
      </c>
      <c r="B60" s="14" t="inlineStr">
        <is>
          <t>elementwise</t>
        </is>
      </c>
      <c r="C60" s="14" t="inlineStr">
        <is>
          <t>s</t>
        </is>
      </c>
      <c r="D60" s="14" t="inlineStr">
        <is>
          <t>ramp</t>
        </is>
      </c>
      <c r="E60" s="14" t="n">
        <v>256</v>
      </c>
      <c r="F60" s="14" t="n">
        <v>0</v>
      </c>
      <c r="G60" s="14" t="n">
        <v>256</v>
      </c>
      <c r="H60" s="14" t="n">
        <v>181</v>
      </c>
      <c r="I60" s="14" t="n">
        <v>263</v>
      </c>
      <c r="J60" s="14" t="n">
        <v>225</v>
      </c>
      <c r="K60" s="14" t="n">
        <v>54429700</v>
      </c>
      <c r="L60" s="14" t="n"/>
      <c r="M60" s="14" t="inlineStr">
        <is>
          <t>ok</t>
        </is>
      </c>
      <c r="N60" s="14" t="inlineStr">
        <is>
          <t>ok</t>
        </is>
      </c>
      <c r="O60" s="14" t="inlineStr">
        <is>
          <t>ok</t>
        </is>
      </c>
      <c r="P60" s="14" t="inlineStr">
        <is>
          <t>ok</t>
        </is>
      </c>
      <c r="Q60" s="14" t="inlineStr">
        <is>
          <t>inline-v1</t>
        </is>
      </c>
      <c r="R60" s="14" t="n">
        <v>768</v>
      </c>
      <c r="S60" s="14" t="n">
        <v>0</v>
      </c>
      <c r="T60" s="14" t="n">
        <v>394.7</v>
      </c>
      <c r="U60" s="14" t="n">
        <v>72.3</v>
      </c>
      <c r="V60" s="14" t="n">
        <v>232</v>
      </c>
      <c r="W60" s="14" t="n">
        <v>90.40000000000001</v>
      </c>
      <c r="X60" s="14" t="n">
        <v>215.4</v>
      </c>
      <c r="Y60" s="14" t="n"/>
      <c r="Z60" s="14" t="inlineStr">
        <is>
          <t>yes</t>
        </is>
      </c>
    </row>
    <row r="61">
      <c r="A61" s="14" t="inlineStr">
        <is>
          <t>polymap</t>
        </is>
      </c>
      <c r="B61" s="14" t="inlineStr">
        <is>
          <t>elementwise</t>
        </is>
      </c>
      <c r="C61" s="14" t="inlineStr">
        <is>
          <t>m</t>
        </is>
      </c>
      <c r="D61" s="14" t="inlineStr">
        <is>
          <t>hash</t>
        </is>
      </c>
      <c r="E61" s="14" t="n">
        <v>65536</v>
      </c>
      <c r="F61" s="14" t="n">
        <v>0</v>
      </c>
      <c r="G61" s="14" t="n">
        <v>65536</v>
      </c>
      <c r="H61" s="14" t="n">
        <v>45125</v>
      </c>
      <c r="I61" s="14" t="n">
        <v>65668</v>
      </c>
      <c r="J61" s="14" t="n"/>
      <c r="K61" s="14" t="n"/>
      <c r="L61" s="14" t="n"/>
      <c r="M61" s="14" t="inlineStr">
        <is>
          <t>ok</t>
        </is>
      </c>
      <c r="N61" s="14" t="inlineStr">
        <is>
          <t>ok</t>
        </is>
      </c>
      <c r="O61" s="14" t="inlineStr">
        <is>
          <t>unsupported</t>
        </is>
      </c>
      <c r="P61" s="14" t="inlineStr">
        <is>
          <t>unsupported</t>
        </is>
      </c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inlineStr">
        <is>
          <t>UNSUPPORTED_PROFILE</t>
        </is>
      </c>
      <c r="Z61" s="14" t="inlineStr">
        <is>
          <t>yes</t>
        </is>
      </c>
    </row>
    <row r="62">
      <c r="A62" s="14" t="inlineStr">
        <is>
          <t>polymap</t>
        </is>
      </c>
      <c r="B62" s="14" t="inlineStr">
        <is>
          <t>elementwise</t>
        </is>
      </c>
      <c r="C62" s="14" t="inlineStr">
        <is>
          <t>m</t>
        </is>
      </c>
      <c r="D62" s="14" t="inlineStr">
        <is>
          <t>max</t>
        </is>
      </c>
      <c r="E62" s="14" t="n">
        <v>65536</v>
      </c>
      <c r="F62" s="14" t="n">
        <v>0</v>
      </c>
      <c r="G62" s="14" t="n">
        <v>65536</v>
      </c>
      <c r="H62" s="14" t="n">
        <v>44053</v>
      </c>
      <c r="I62" s="14" t="n">
        <v>64921</v>
      </c>
      <c r="J62" s="14" t="n"/>
      <c r="K62" s="14" t="n"/>
      <c r="L62" s="14" t="n"/>
      <c r="M62" s="14" t="inlineStr">
        <is>
          <t>ok</t>
        </is>
      </c>
      <c r="N62" s="14" t="inlineStr">
        <is>
          <t>ok</t>
        </is>
      </c>
      <c r="O62" s="14" t="inlineStr">
        <is>
          <t>unsupported</t>
        </is>
      </c>
      <c r="P62" s="14" t="inlineStr">
        <is>
          <t>unsupported</t>
        </is>
      </c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inlineStr">
        <is>
          <t>UNSUPPORTED_PROFILE</t>
        </is>
      </c>
      <c r="Z62" s="14" t="inlineStr">
        <is>
          <t>yes</t>
        </is>
      </c>
    </row>
    <row r="63">
      <c r="A63" s="14" t="inlineStr">
        <is>
          <t>polymap</t>
        </is>
      </c>
      <c r="B63" s="14" t="inlineStr">
        <is>
          <t>elementwise</t>
        </is>
      </c>
      <c r="C63" s="14" t="inlineStr">
        <is>
          <t>m</t>
        </is>
      </c>
      <c r="D63" s="14" t="inlineStr">
        <is>
          <t>ramp</t>
        </is>
      </c>
      <c r="E63" s="14" t="n">
        <v>65536</v>
      </c>
      <c r="F63" s="14" t="n">
        <v>0</v>
      </c>
      <c r="G63" s="14" t="n">
        <v>65536</v>
      </c>
      <c r="H63" s="14" t="n">
        <v>43896</v>
      </c>
      <c r="I63" s="14" t="n">
        <v>65731</v>
      </c>
      <c r="J63" s="14" t="n"/>
      <c r="K63" s="14" t="n"/>
      <c r="L63" s="14" t="n"/>
      <c r="M63" s="14" t="inlineStr">
        <is>
          <t>ok</t>
        </is>
      </c>
      <c r="N63" s="14" t="inlineStr">
        <is>
          <t>ok</t>
        </is>
      </c>
      <c r="O63" s="14" t="inlineStr">
        <is>
          <t>unsupported</t>
        </is>
      </c>
      <c r="P63" s="14" t="inlineStr">
        <is>
          <t>unsupported</t>
        </is>
      </c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inlineStr">
        <is>
          <t>UNSUPPORTED_PROFILE</t>
        </is>
      </c>
      <c r="Z63" s="14" t="inlineStr">
        <is>
          <t>yes</t>
        </is>
      </c>
    </row>
    <row r="64">
      <c r="A64" s="14" t="inlineStr">
        <is>
          <t>polymap</t>
        </is>
      </c>
      <c r="B64" s="14" t="inlineStr">
        <is>
          <t>elementwise</t>
        </is>
      </c>
      <c r="C64" s="14" t="inlineStr">
        <is>
          <t>l</t>
        </is>
      </c>
      <c r="D64" s="14" t="inlineStr">
        <is>
          <t>hash</t>
        </is>
      </c>
      <c r="E64" s="14" t="n">
        <v>4194304</v>
      </c>
      <c r="F64" s="14" t="n">
        <v>0</v>
      </c>
      <c r="G64" s="14" t="n">
        <v>4194304</v>
      </c>
      <c r="H64" s="14" t="n">
        <v>4470800</v>
      </c>
      <c r="I64" s="14" t="n">
        <v>5194850</v>
      </c>
      <c r="J64" s="14" t="n"/>
      <c r="K64" s="14" t="n"/>
      <c r="L64" s="14" t="n"/>
      <c r="M64" s="14" t="inlineStr">
        <is>
          <t>ok</t>
        </is>
      </c>
      <c r="N64" s="14" t="inlineStr">
        <is>
          <t>ok</t>
        </is>
      </c>
      <c r="O64" s="14" t="inlineStr">
        <is>
          <t>unsupported</t>
        </is>
      </c>
      <c r="P64" s="14" t="inlineStr">
        <is>
          <t>unsupported</t>
        </is>
      </c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inlineStr">
        <is>
          <t>UNSUPPORTED_PROFILE</t>
        </is>
      </c>
      <c r="Z64" s="14" t="inlineStr">
        <is>
          <t>yes</t>
        </is>
      </c>
    </row>
    <row r="65">
      <c r="A65" s="14" t="inlineStr">
        <is>
          <t>polymap</t>
        </is>
      </c>
      <c r="B65" s="14" t="inlineStr">
        <is>
          <t>elementwise</t>
        </is>
      </c>
      <c r="C65" s="14" t="inlineStr">
        <is>
          <t>l</t>
        </is>
      </c>
      <c r="D65" s="14" t="inlineStr">
        <is>
          <t>max</t>
        </is>
      </c>
      <c r="E65" s="14" t="n">
        <v>4194304</v>
      </c>
      <c r="F65" s="14" t="n">
        <v>0</v>
      </c>
      <c r="G65" s="14" t="n">
        <v>4194304</v>
      </c>
      <c r="H65" s="14" t="n">
        <v>4537800</v>
      </c>
      <c r="I65" s="14" t="n">
        <v>5612900</v>
      </c>
      <c r="J65" s="14" t="n"/>
      <c r="K65" s="14" t="n"/>
      <c r="L65" s="14" t="n"/>
      <c r="M65" s="14" t="inlineStr">
        <is>
          <t>ok</t>
        </is>
      </c>
      <c r="N65" s="14" t="inlineStr">
        <is>
          <t>ok</t>
        </is>
      </c>
      <c r="O65" s="14" t="inlineStr">
        <is>
          <t>unsupported</t>
        </is>
      </c>
      <c r="P65" s="14" t="inlineStr">
        <is>
          <t>unsupported</t>
        </is>
      </c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inlineStr">
        <is>
          <t>UNSUPPORTED_PROFILE</t>
        </is>
      </c>
      <c r="Z65" s="14" t="inlineStr">
        <is>
          <t>yes</t>
        </is>
      </c>
    </row>
    <row r="66">
      <c r="A66" s="14" t="inlineStr">
        <is>
          <t>polymap</t>
        </is>
      </c>
      <c r="B66" s="14" t="inlineStr">
        <is>
          <t>elementwise</t>
        </is>
      </c>
      <c r="C66" s="14" t="inlineStr">
        <is>
          <t>l</t>
        </is>
      </c>
      <c r="D66" s="14" t="inlineStr">
        <is>
          <t>ramp</t>
        </is>
      </c>
      <c r="E66" s="14" t="n">
        <v>4194304</v>
      </c>
      <c r="F66" s="14" t="n">
        <v>0</v>
      </c>
      <c r="G66" s="14" t="n">
        <v>4194304</v>
      </c>
      <c r="H66" s="14" t="n">
        <v>4678100</v>
      </c>
      <c r="I66" s="14" t="n">
        <v>5251000</v>
      </c>
      <c r="J66" s="14" t="n"/>
      <c r="K66" s="14" t="n"/>
      <c r="L66" s="14" t="n"/>
      <c r="M66" s="14" t="inlineStr">
        <is>
          <t>ok</t>
        </is>
      </c>
      <c r="N66" s="14" t="inlineStr">
        <is>
          <t>ok</t>
        </is>
      </c>
      <c r="O66" s="14" t="inlineStr">
        <is>
          <t>unsupported</t>
        </is>
      </c>
      <c r="P66" s="14" t="inlineStr">
        <is>
          <t>unsupported</t>
        </is>
      </c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inlineStr">
        <is>
          <t>UNSUPPORTED_PROFILE</t>
        </is>
      </c>
      <c r="Z66" s="14" t="inlineStr">
        <is>
          <t>yes</t>
        </is>
      </c>
    </row>
    <row r="67">
      <c r="A67" s="14" t="inlineStr">
        <is>
          <t>transpose</t>
        </is>
      </c>
      <c r="B67" s="14" t="inlineStr">
        <is>
          <t>layout</t>
        </is>
      </c>
      <c r="C67" s="14" t="inlineStr">
        <is>
          <t>s</t>
        </is>
      </c>
      <c r="D67" s="14" t="inlineStr">
        <is>
          <t>hash</t>
        </is>
      </c>
      <c r="E67" s="14" t="n">
        <v>16</v>
      </c>
      <c r="F67" s="14" t="n">
        <v>16</v>
      </c>
      <c r="G67" s="14" t="n">
        <v>256</v>
      </c>
      <c r="H67" s="14" t="n">
        <v>102</v>
      </c>
      <c r="I67" s="14" t="n">
        <v>283</v>
      </c>
      <c r="J67" s="14" t="n"/>
      <c r="K67" s="14" t="n"/>
      <c r="L67" s="14" t="n"/>
      <c r="M67" s="14" t="inlineStr">
        <is>
          <t>ok</t>
        </is>
      </c>
      <c r="N67" s="14" t="inlineStr">
        <is>
          <t>ok</t>
        </is>
      </c>
      <c r="O67" s="14" t="inlineStr">
        <is>
          <t>unsupported</t>
        </is>
      </c>
      <c r="P67" s="14" t="inlineStr">
        <is>
          <t>unsupported</t>
        </is>
      </c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inlineStr">
        <is>
          <t>UNSUPPORTED_PROFILE</t>
        </is>
      </c>
      <c r="Z67" s="14" t="inlineStr">
        <is>
          <t>yes</t>
        </is>
      </c>
    </row>
    <row r="68">
      <c r="A68" s="14" t="inlineStr">
        <is>
          <t>transpose</t>
        </is>
      </c>
      <c r="B68" s="14" t="inlineStr">
        <is>
          <t>layout</t>
        </is>
      </c>
      <c r="C68" s="14" t="inlineStr">
        <is>
          <t>s</t>
        </is>
      </c>
      <c r="D68" s="14" t="inlineStr">
        <is>
          <t>max</t>
        </is>
      </c>
      <c r="E68" s="14" t="n">
        <v>16</v>
      </c>
      <c r="F68" s="14" t="n">
        <v>16</v>
      </c>
      <c r="G68" s="14" t="n">
        <v>256</v>
      </c>
      <c r="H68" s="14" t="n">
        <v>97</v>
      </c>
      <c r="I68" s="14" t="n">
        <v>254</v>
      </c>
      <c r="J68" s="14" t="n"/>
      <c r="K68" s="14" t="n"/>
      <c r="L68" s="14" t="n"/>
      <c r="M68" s="14" t="inlineStr">
        <is>
          <t>ok</t>
        </is>
      </c>
      <c r="N68" s="14" t="inlineStr">
        <is>
          <t>ok</t>
        </is>
      </c>
      <c r="O68" s="14" t="inlineStr">
        <is>
          <t>unsupported</t>
        </is>
      </c>
      <c r="P68" s="14" t="inlineStr">
        <is>
          <t>unsupported</t>
        </is>
      </c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inlineStr">
        <is>
          <t>UNSUPPORTED_PROFILE</t>
        </is>
      </c>
      <c r="Z68" s="14" t="inlineStr">
        <is>
          <t>yes</t>
        </is>
      </c>
    </row>
    <row r="69">
      <c r="A69" s="14" t="inlineStr">
        <is>
          <t>transpose</t>
        </is>
      </c>
      <c r="B69" s="14" t="inlineStr">
        <is>
          <t>layout</t>
        </is>
      </c>
      <c r="C69" s="14" t="inlineStr">
        <is>
          <t>s</t>
        </is>
      </c>
      <c r="D69" s="14" t="inlineStr">
        <is>
          <t>ramp</t>
        </is>
      </c>
      <c r="E69" s="14" t="n">
        <v>16</v>
      </c>
      <c r="F69" s="14" t="n">
        <v>16</v>
      </c>
      <c r="G69" s="14" t="n">
        <v>256</v>
      </c>
      <c r="H69" s="14" t="n">
        <v>100</v>
      </c>
      <c r="I69" s="14" t="n">
        <v>255</v>
      </c>
      <c r="J69" s="14" t="n"/>
      <c r="K69" s="14" t="n"/>
      <c r="L69" s="14" t="n"/>
      <c r="M69" s="14" t="inlineStr">
        <is>
          <t>ok</t>
        </is>
      </c>
      <c r="N69" s="14" t="inlineStr">
        <is>
          <t>ok</t>
        </is>
      </c>
      <c r="O69" s="14" t="inlineStr">
        <is>
          <t>unsupported</t>
        </is>
      </c>
      <c r="P69" s="14" t="inlineStr">
        <is>
          <t>unsupported</t>
        </is>
      </c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inlineStr">
        <is>
          <t>UNSUPPORTED_PROFILE</t>
        </is>
      </c>
      <c r="Z69" s="14" t="inlineStr">
        <is>
          <t>yes</t>
        </is>
      </c>
    </row>
    <row r="70">
      <c r="A70" s="14" t="inlineStr">
        <is>
          <t>transpose</t>
        </is>
      </c>
      <c r="B70" s="14" t="inlineStr">
        <is>
          <t>layout</t>
        </is>
      </c>
      <c r="C70" s="14" t="inlineStr">
        <is>
          <t>m</t>
        </is>
      </c>
      <c r="D70" s="14" t="inlineStr">
        <is>
          <t>hash</t>
        </is>
      </c>
      <c r="E70" s="14" t="n">
        <v>256</v>
      </c>
      <c r="F70" s="14" t="n">
        <v>256</v>
      </c>
      <c r="G70" s="14" t="n">
        <v>65536</v>
      </c>
      <c r="H70" s="14" t="n">
        <v>402275</v>
      </c>
      <c r="I70" s="14" t="n">
        <v>348050</v>
      </c>
      <c r="J70" s="14" t="n"/>
      <c r="K70" s="14" t="n"/>
      <c r="L70" s="14" t="n"/>
      <c r="M70" s="14" t="inlineStr">
        <is>
          <t>ok</t>
        </is>
      </c>
      <c r="N70" s="14" t="inlineStr">
        <is>
          <t>ok</t>
        </is>
      </c>
      <c r="O70" s="14" t="inlineStr">
        <is>
          <t>unsupported</t>
        </is>
      </c>
      <c r="P70" s="14" t="inlineStr">
        <is>
          <t>unsupported</t>
        </is>
      </c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inlineStr">
        <is>
          <t>UNSUPPORTED_PROFILE</t>
        </is>
      </c>
      <c r="Z70" s="14" t="inlineStr">
        <is>
          <t>yes</t>
        </is>
      </c>
    </row>
    <row r="71">
      <c r="A71" s="14" t="inlineStr">
        <is>
          <t>transpose</t>
        </is>
      </c>
      <c r="B71" s="14" t="inlineStr">
        <is>
          <t>layout</t>
        </is>
      </c>
      <c r="C71" s="14" t="inlineStr">
        <is>
          <t>m</t>
        </is>
      </c>
      <c r="D71" s="14" t="inlineStr">
        <is>
          <t>max</t>
        </is>
      </c>
      <c r="E71" s="14" t="n">
        <v>256</v>
      </c>
      <c r="F71" s="14" t="n">
        <v>256</v>
      </c>
      <c r="G71" s="14" t="n">
        <v>65536</v>
      </c>
      <c r="H71" s="14" t="n">
        <v>395312</v>
      </c>
      <c r="I71" s="14" t="n">
        <v>343487</v>
      </c>
      <c r="J71" s="14" t="n"/>
      <c r="K71" s="14" t="n"/>
      <c r="L71" s="14" t="n"/>
      <c r="M71" s="14" t="inlineStr">
        <is>
          <t>ok</t>
        </is>
      </c>
      <c r="N71" s="14" t="inlineStr">
        <is>
          <t>ok</t>
        </is>
      </c>
      <c r="O71" s="14" t="inlineStr">
        <is>
          <t>unsupported</t>
        </is>
      </c>
      <c r="P71" s="14" t="inlineStr">
        <is>
          <t>unsupported</t>
        </is>
      </c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inlineStr">
        <is>
          <t>UNSUPPORTED_PROFILE</t>
        </is>
      </c>
      <c r="Z71" s="14" t="inlineStr">
        <is>
          <t>yes</t>
        </is>
      </c>
    </row>
    <row r="72">
      <c r="A72" s="14" t="inlineStr">
        <is>
          <t>transpose</t>
        </is>
      </c>
      <c r="B72" s="14" t="inlineStr">
        <is>
          <t>layout</t>
        </is>
      </c>
      <c r="C72" s="14" t="inlineStr">
        <is>
          <t>m</t>
        </is>
      </c>
      <c r="D72" s="14" t="inlineStr">
        <is>
          <t>ramp</t>
        </is>
      </c>
      <c r="E72" s="14" t="n">
        <v>256</v>
      </c>
      <c r="F72" s="14" t="n">
        <v>256</v>
      </c>
      <c r="G72" s="14" t="n">
        <v>65536</v>
      </c>
      <c r="H72" s="14" t="n">
        <v>401225</v>
      </c>
      <c r="I72" s="14" t="n">
        <v>342500</v>
      </c>
      <c r="J72" s="14" t="n"/>
      <c r="K72" s="14" t="n"/>
      <c r="L72" s="14" t="n"/>
      <c r="M72" s="14" t="inlineStr">
        <is>
          <t>ok</t>
        </is>
      </c>
      <c r="N72" s="14" t="inlineStr">
        <is>
          <t>ok</t>
        </is>
      </c>
      <c r="O72" s="14" t="inlineStr">
        <is>
          <t>unsupported</t>
        </is>
      </c>
      <c r="P72" s="14" t="inlineStr">
        <is>
          <t>unsupported</t>
        </is>
      </c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inlineStr">
        <is>
          <t>UNSUPPORTED_PROFILE</t>
        </is>
      </c>
      <c r="Z72" s="14" t="inlineStr">
        <is>
          <t>yes</t>
        </is>
      </c>
    </row>
    <row r="73">
      <c r="A73" s="14" t="inlineStr">
        <is>
          <t>transpose</t>
        </is>
      </c>
      <c r="B73" s="14" t="inlineStr">
        <is>
          <t>layout</t>
        </is>
      </c>
      <c r="C73" s="14" t="inlineStr">
        <is>
          <t>l</t>
        </is>
      </c>
      <c r="D73" s="14" t="inlineStr">
        <is>
          <t>hash</t>
        </is>
      </c>
      <c r="E73" s="14" t="n">
        <v>2048</v>
      </c>
      <c r="F73" s="14" t="n">
        <v>2048</v>
      </c>
      <c r="G73" s="14" t="n">
        <v>4194304</v>
      </c>
      <c r="H73" s="14" t="n">
        <v>31551500</v>
      </c>
      <c r="I73" s="14" t="n">
        <v>30996400</v>
      </c>
      <c r="J73" s="14" t="n"/>
      <c r="K73" s="14" t="n"/>
      <c r="L73" s="14" t="n"/>
      <c r="M73" s="14" t="inlineStr">
        <is>
          <t>ok</t>
        </is>
      </c>
      <c r="N73" s="14" t="inlineStr">
        <is>
          <t>ok</t>
        </is>
      </c>
      <c r="O73" s="14" t="inlineStr">
        <is>
          <t>unsupported</t>
        </is>
      </c>
      <c r="P73" s="14" t="inlineStr">
        <is>
          <t>unsupported</t>
        </is>
      </c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inlineStr">
        <is>
          <t>UNSUPPORTED_PROFILE</t>
        </is>
      </c>
      <c r="Z73" s="14" t="inlineStr">
        <is>
          <t>yes</t>
        </is>
      </c>
    </row>
    <row r="74">
      <c r="A74" s="14" t="inlineStr">
        <is>
          <t>transpose</t>
        </is>
      </c>
      <c r="B74" s="14" t="inlineStr">
        <is>
          <t>layout</t>
        </is>
      </c>
      <c r="C74" s="14" t="inlineStr">
        <is>
          <t>l</t>
        </is>
      </c>
      <c r="D74" s="14" t="inlineStr">
        <is>
          <t>max</t>
        </is>
      </c>
      <c r="E74" s="14" t="n">
        <v>2048</v>
      </c>
      <c r="F74" s="14" t="n">
        <v>2048</v>
      </c>
      <c r="G74" s="14" t="n">
        <v>4194304</v>
      </c>
      <c r="H74" s="14" t="n">
        <v>32779700</v>
      </c>
      <c r="I74" s="14" t="n">
        <v>30978900</v>
      </c>
      <c r="J74" s="14" t="n"/>
      <c r="K74" s="14" t="n"/>
      <c r="L74" s="14" t="n"/>
      <c r="M74" s="14" t="inlineStr">
        <is>
          <t>ok</t>
        </is>
      </c>
      <c r="N74" s="14" t="inlineStr">
        <is>
          <t>ok</t>
        </is>
      </c>
      <c r="O74" s="14" t="inlineStr">
        <is>
          <t>unsupported</t>
        </is>
      </c>
      <c r="P74" s="14" t="inlineStr">
        <is>
          <t>unsupported</t>
        </is>
      </c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inlineStr">
        <is>
          <t>UNSUPPORTED_PROFILE</t>
        </is>
      </c>
      <c r="Z74" s="14" t="inlineStr">
        <is>
          <t>yes</t>
        </is>
      </c>
    </row>
    <row r="75">
      <c r="A75" s="14" t="inlineStr">
        <is>
          <t>transpose</t>
        </is>
      </c>
      <c r="B75" s="14" t="inlineStr">
        <is>
          <t>layout</t>
        </is>
      </c>
      <c r="C75" s="14" t="inlineStr">
        <is>
          <t>l</t>
        </is>
      </c>
      <c r="D75" s="14" t="inlineStr">
        <is>
          <t>ramp</t>
        </is>
      </c>
      <c r="E75" s="14" t="n">
        <v>2048</v>
      </c>
      <c r="F75" s="14" t="n">
        <v>2048</v>
      </c>
      <c r="G75" s="14" t="n">
        <v>4194304</v>
      </c>
      <c r="H75" s="14" t="n">
        <v>32606700</v>
      </c>
      <c r="I75" s="14" t="n">
        <v>30421100</v>
      </c>
      <c r="J75" s="14" t="n"/>
      <c r="K75" s="14" t="n"/>
      <c r="L75" s="14" t="n"/>
      <c r="M75" s="14" t="inlineStr">
        <is>
          <t>ok</t>
        </is>
      </c>
      <c r="N75" s="14" t="inlineStr">
        <is>
          <t>ok</t>
        </is>
      </c>
      <c r="O75" s="14" t="inlineStr">
        <is>
          <t>unsupported</t>
        </is>
      </c>
      <c r="P75" s="14" t="inlineStr">
        <is>
          <t>unsupported</t>
        </is>
      </c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inlineStr">
        <is>
          <t>UNSUPPORTED_PROFILE</t>
        </is>
      </c>
      <c r="Z75" s="14" t="inlineStr">
        <is>
          <t>yes</t>
        </is>
      </c>
    </row>
    <row r="76">
      <c r="A76" s="14" t="inlineStr">
        <is>
          <t>maxpool2</t>
        </is>
      </c>
      <c r="B76" s="14" t="inlineStr">
        <is>
          <t>stencil-2d-cond</t>
        </is>
      </c>
      <c r="C76" s="14" t="inlineStr">
        <is>
          <t>s</t>
        </is>
      </c>
      <c r="D76" s="14" t="inlineStr">
        <is>
          <t>hash</t>
        </is>
      </c>
      <c r="E76" s="14" t="n">
        <v>8</v>
      </c>
      <c r="F76" s="14" t="n">
        <v>8</v>
      </c>
      <c r="G76" s="14" t="n">
        <v>64</v>
      </c>
      <c r="H76" s="14" t="n">
        <v>67</v>
      </c>
      <c r="I76" s="14" t="n">
        <v>171</v>
      </c>
      <c r="J76" s="14" t="n"/>
      <c r="K76" s="14" t="n"/>
      <c r="L76" s="14" t="n"/>
      <c r="M76" s="14" t="inlineStr">
        <is>
          <t>ok</t>
        </is>
      </c>
      <c r="N76" s="14" t="inlineStr">
        <is>
          <t>ok</t>
        </is>
      </c>
      <c r="O76" s="14" t="inlineStr">
        <is>
          <t>unsupported</t>
        </is>
      </c>
      <c r="P76" s="14" t="inlineStr">
        <is>
          <t>unsupported</t>
        </is>
      </c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inlineStr">
        <is>
          <t>NOT_EXPRESSIBLE</t>
        </is>
      </c>
      <c r="Z76" s="14" t="inlineStr">
        <is>
          <t>yes</t>
        </is>
      </c>
    </row>
    <row r="77">
      <c r="A77" s="14" t="inlineStr">
        <is>
          <t>maxpool2</t>
        </is>
      </c>
      <c r="B77" s="14" t="inlineStr">
        <is>
          <t>stencil-2d-cond</t>
        </is>
      </c>
      <c r="C77" s="14" t="inlineStr">
        <is>
          <t>s</t>
        </is>
      </c>
      <c r="D77" s="14" t="inlineStr">
        <is>
          <t>max</t>
        </is>
      </c>
      <c r="E77" s="14" t="n">
        <v>8</v>
      </c>
      <c r="F77" s="14" t="n">
        <v>8</v>
      </c>
      <c r="G77" s="14" t="n">
        <v>64</v>
      </c>
      <c r="H77" s="14" t="n">
        <v>67</v>
      </c>
      <c r="I77" s="14" t="n">
        <v>164</v>
      </c>
      <c r="J77" s="14" t="n"/>
      <c r="K77" s="14" t="n"/>
      <c r="L77" s="14" t="n"/>
      <c r="M77" s="14" t="inlineStr">
        <is>
          <t>ok</t>
        </is>
      </c>
      <c r="N77" s="14" t="inlineStr">
        <is>
          <t>ok</t>
        </is>
      </c>
      <c r="O77" s="14" t="inlineStr">
        <is>
          <t>unsupported</t>
        </is>
      </c>
      <c r="P77" s="14" t="inlineStr">
        <is>
          <t>unsupported</t>
        </is>
      </c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inlineStr">
        <is>
          <t>NOT_EXPRESSIBLE</t>
        </is>
      </c>
      <c r="Z77" s="14" t="inlineStr">
        <is>
          <t>yes</t>
        </is>
      </c>
    </row>
    <row r="78">
      <c r="A78" s="14" t="inlineStr">
        <is>
          <t>maxpool2</t>
        </is>
      </c>
      <c r="B78" s="14" t="inlineStr">
        <is>
          <t>stencil-2d-cond</t>
        </is>
      </c>
      <c r="C78" s="14" t="inlineStr">
        <is>
          <t>s</t>
        </is>
      </c>
      <c r="D78" s="14" t="inlineStr">
        <is>
          <t>ramp</t>
        </is>
      </c>
      <c r="E78" s="14" t="n">
        <v>8</v>
      </c>
      <c r="F78" s="14" t="n">
        <v>8</v>
      </c>
      <c r="G78" s="14" t="n">
        <v>64</v>
      </c>
      <c r="H78" s="14" t="n">
        <v>67</v>
      </c>
      <c r="I78" s="14" t="n">
        <v>168</v>
      </c>
      <c r="J78" s="14" t="n"/>
      <c r="K78" s="14" t="n"/>
      <c r="L78" s="14" t="n"/>
      <c r="M78" s="14" t="inlineStr">
        <is>
          <t>ok</t>
        </is>
      </c>
      <c r="N78" s="14" t="inlineStr">
        <is>
          <t>ok</t>
        </is>
      </c>
      <c r="O78" s="14" t="inlineStr">
        <is>
          <t>unsupported</t>
        </is>
      </c>
      <c r="P78" s="14" t="inlineStr">
        <is>
          <t>unsupported</t>
        </is>
      </c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inlineStr">
        <is>
          <t>NOT_EXPRESSIBLE</t>
        </is>
      </c>
      <c r="Z78" s="14" t="inlineStr">
        <is>
          <t>yes</t>
        </is>
      </c>
    </row>
    <row r="79">
      <c r="A79" s="14" t="inlineStr">
        <is>
          <t>maxpool2</t>
        </is>
      </c>
      <c r="B79" s="14" t="inlineStr">
        <is>
          <t>stencil-2d-cond</t>
        </is>
      </c>
      <c r="C79" s="14" t="inlineStr">
        <is>
          <t>m</t>
        </is>
      </c>
      <c r="D79" s="14" t="inlineStr">
        <is>
          <t>hash</t>
        </is>
      </c>
      <c r="E79" s="14" t="n">
        <v>128</v>
      </c>
      <c r="F79" s="14" t="n">
        <v>128</v>
      </c>
      <c r="G79" s="14" t="n">
        <v>16384</v>
      </c>
      <c r="H79" s="14" t="n">
        <v>15017</v>
      </c>
      <c r="I79" s="14" t="n">
        <v>17487</v>
      </c>
      <c r="J79" s="14" t="n"/>
      <c r="K79" s="14" t="n"/>
      <c r="L79" s="14" t="n"/>
      <c r="M79" s="14" t="inlineStr">
        <is>
          <t>ok</t>
        </is>
      </c>
      <c r="N79" s="14" t="inlineStr">
        <is>
          <t>ok</t>
        </is>
      </c>
      <c r="O79" s="14" t="inlineStr">
        <is>
          <t>unsupported</t>
        </is>
      </c>
      <c r="P79" s="14" t="inlineStr">
        <is>
          <t>unsupported</t>
        </is>
      </c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inlineStr">
        <is>
          <t>NOT_EXPRESSIBLE</t>
        </is>
      </c>
      <c r="Z79" s="14" t="inlineStr">
        <is>
          <t>yes</t>
        </is>
      </c>
    </row>
    <row r="80">
      <c r="A80" s="14" t="inlineStr">
        <is>
          <t>maxpool2</t>
        </is>
      </c>
      <c r="B80" s="14" t="inlineStr">
        <is>
          <t>stencil-2d-cond</t>
        </is>
      </c>
      <c r="C80" s="14" t="inlineStr">
        <is>
          <t>m</t>
        </is>
      </c>
      <c r="D80" s="14" t="inlineStr">
        <is>
          <t>max</t>
        </is>
      </c>
      <c r="E80" s="14" t="n">
        <v>128</v>
      </c>
      <c r="F80" s="14" t="n">
        <v>128</v>
      </c>
      <c r="G80" s="14" t="n">
        <v>16384</v>
      </c>
      <c r="H80" s="14" t="n">
        <v>15011</v>
      </c>
      <c r="I80" s="14" t="n">
        <v>17402</v>
      </c>
      <c r="J80" s="14" t="n"/>
      <c r="K80" s="14" t="n"/>
      <c r="L80" s="14" t="n"/>
      <c r="M80" s="14" t="inlineStr">
        <is>
          <t>ok</t>
        </is>
      </c>
      <c r="N80" s="14" t="inlineStr">
        <is>
          <t>ok</t>
        </is>
      </c>
      <c r="O80" s="14" t="inlineStr">
        <is>
          <t>unsupported</t>
        </is>
      </c>
      <c r="P80" s="14" t="inlineStr">
        <is>
          <t>unsupported</t>
        </is>
      </c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inlineStr">
        <is>
          <t>NOT_EXPRESSIBLE</t>
        </is>
      </c>
      <c r="Z80" s="14" t="inlineStr">
        <is>
          <t>yes</t>
        </is>
      </c>
    </row>
    <row r="81">
      <c r="A81" s="14" t="inlineStr">
        <is>
          <t>maxpool2</t>
        </is>
      </c>
      <c r="B81" s="14" t="inlineStr">
        <is>
          <t>stencil-2d-cond</t>
        </is>
      </c>
      <c r="C81" s="14" t="inlineStr">
        <is>
          <t>m</t>
        </is>
      </c>
      <c r="D81" s="14" t="inlineStr">
        <is>
          <t>ramp</t>
        </is>
      </c>
      <c r="E81" s="14" t="n">
        <v>128</v>
      </c>
      <c r="F81" s="14" t="n">
        <v>128</v>
      </c>
      <c r="G81" s="14" t="n">
        <v>16384</v>
      </c>
      <c r="H81" s="14" t="n">
        <v>15036</v>
      </c>
      <c r="I81" s="14" t="n">
        <v>17590</v>
      </c>
      <c r="J81" s="14" t="n"/>
      <c r="K81" s="14" t="n"/>
      <c r="L81" s="14" t="n"/>
      <c r="M81" s="14" t="inlineStr">
        <is>
          <t>ok</t>
        </is>
      </c>
      <c r="N81" s="14" t="inlineStr">
        <is>
          <t>ok</t>
        </is>
      </c>
      <c r="O81" s="14" t="inlineStr">
        <is>
          <t>unsupported</t>
        </is>
      </c>
      <c r="P81" s="14" t="inlineStr">
        <is>
          <t>unsupported</t>
        </is>
      </c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inlineStr">
        <is>
          <t>NOT_EXPRESSIBLE</t>
        </is>
      </c>
      <c r="Z81" s="14" t="inlineStr">
        <is>
          <t>yes</t>
        </is>
      </c>
    </row>
    <row r="82">
      <c r="A82" s="14" t="inlineStr">
        <is>
          <t>maxpool2</t>
        </is>
      </c>
      <c r="B82" s="14" t="inlineStr">
        <is>
          <t>stencil-2d-cond</t>
        </is>
      </c>
      <c r="C82" s="14" t="inlineStr">
        <is>
          <t>l</t>
        </is>
      </c>
      <c r="D82" s="14" t="inlineStr">
        <is>
          <t>hash</t>
        </is>
      </c>
      <c r="E82" s="14" t="n">
        <v>1024</v>
      </c>
      <c r="F82" s="14" t="n">
        <v>1024</v>
      </c>
      <c r="G82" s="14" t="n">
        <v>1048576</v>
      </c>
      <c r="H82" s="14" t="n">
        <v>1645700</v>
      </c>
      <c r="I82" s="14" t="n">
        <v>1609700</v>
      </c>
      <c r="J82" s="14" t="n"/>
      <c r="K82" s="14" t="n"/>
      <c r="L82" s="14" t="n"/>
      <c r="M82" s="14" t="inlineStr">
        <is>
          <t>ok</t>
        </is>
      </c>
      <c r="N82" s="14" t="inlineStr">
        <is>
          <t>ok</t>
        </is>
      </c>
      <c r="O82" s="14" t="inlineStr">
        <is>
          <t>unsupported</t>
        </is>
      </c>
      <c r="P82" s="14" t="inlineStr">
        <is>
          <t>unsupported</t>
        </is>
      </c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inlineStr">
        <is>
          <t>NOT_EXPRESSIBLE</t>
        </is>
      </c>
      <c r="Z82" s="14" t="inlineStr">
        <is>
          <t>yes</t>
        </is>
      </c>
    </row>
    <row r="83">
      <c r="A83" s="14" t="inlineStr">
        <is>
          <t>maxpool2</t>
        </is>
      </c>
      <c r="B83" s="14" t="inlineStr">
        <is>
          <t>stencil-2d-cond</t>
        </is>
      </c>
      <c r="C83" s="14" t="inlineStr">
        <is>
          <t>l</t>
        </is>
      </c>
      <c r="D83" s="14" t="inlineStr">
        <is>
          <t>max</t>
        </is>
      </c>
      <c r="E83" s="14" t="n">
        <v>1024</v>
      </c>
      <c r="F83" s="14" t="n">
        <v>1024</v>
      </c>
      <c r="G83" s="14" t="n">
        <v>1048576</v>
      </c>
      <c r="H83" s="14" t="n">
        <v>1934300</v>
      </c>
      <c r="I83" s="14" t="n">
        <v>1853600</v>
      </c>
      <c r="J83" s="14" t="n"/>
      <c r="K83" s="14" t="n"/>
      <c r="L83" s="14" t="n"/>
      <c r="M83" s="14" t="inlineStr">
        <is>
          <t>ok</t>
        </is>
      </c>
      <c r="N83" s="14" t="inlineStr">
        <is>
          <t>ok</t>
        </is>
      </c>
      <c r="O83" s="14" t="inlineStr">
        <is>
          <t>unsupported</t>
        </is>
      </c>
      <c r="P83" s="14" t="inlineStr">
        <is>
          <t>unsupported</t>
        </is>
      </c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inlineStr">
        <is>
          <t>NOT_EXPRESSIBLE</t>
        </is>
      </c>
      <c r="Z83" s="14" t="inlineStr">
        <is>
          <t>yes</t>
        </is>
      </c>
    </row>
    <row r="84">
      <c r="A84" s="14" t="inlineStr">
        <is>
          <t>maxpool2</t>
        </is>
      </c>
      <c r="B84" s="14" t="inlineStr">
        <is>
          <t>stencil-2d-cond</t>
        </is>
      </c>
      <c r="C84" s="14" t="inlineStr">
        <is>
          <t>l</t>
        </is>
      </c>
      <c r="D84" s="14" t="inlineStr">
        <is>
          <t>ramp</t>
        </is>
      </c>
      <c r="E84" s="14" t="n">
        <v>1024</v>
      </c>
      <c r="F84" s="14" t="n">
        <v>1024</v>
      </c>
      <c r="G84" s="14" t="n">
        <v>1048576</v>
      </c>
      <c r="H84" s="14" t="n">
        <v>1756750</v>
      </c>
      <c r="I84" s="14" t="n">
        <v>1577000</v>
      </c>
      <c r="J84" s="14" t="n"/>
      <c r="K84" s="14" t="n"/>
      <c r="L84" s="14" t="n"/>
      <c r="M84" s="14" t="inlineStr">
        <is>
          <t>ok</t>
        </is>
      </c>
      <c r="N84" s="14" t="inlineStr">
        <is>
          <t>ok</t>
        </is>
      </c>
      <c r="O84" s="14" t="inlineStr">
        <is>
          <t>unsupported</t>
        </is>
      </c>
      <c r="P84" s="14" t="inlineStr">
        <is>
          <t>unsupported</t>
        </is>
      </c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inlineStr">
        <is>
          <t>NOT_EXPRESSIBLE</t>
        </is>
      </c>
      <c r="Z84" s="14" t="inlineStr">
        <is>
          <t>yes</t>
        </is>
      </c>
    </row>
    <row r="85">
      <c r="A85" s="14" t="inlineStr">
        <is>
          <t>sum</t>
        </is>
      </c>
      <c r="B85" s="14" t="inlineStr">
        <is>
          <t>reduction</t>
        </is>
      </c>
      <c r="C85" s="14" t="inlineStr">
        <is>
          <t>s</t>
        </is>
      </c>
      <c r="D85" s="14" t="inlineStr">
        <is>
          <t>hash</t>
        </is>
      </c>
      <c r="E85" s="14" t="n">
        <v>256</v>
      </c>
      <c r="F85" s="14" t="n">
        <v>0</v>
      </c>
      <c r="G85" s="14" t="n">
        <v>1</v>
      </c>
      <c r="H85" s="14" t="n">
        <v>62</v>
      </c>
      <c r="I85" s="14" t="n">
        <v>61</v>
      </c>
      <c r="J85" s="14" t="n"/>
      <c r="K85" s="14" t="n"/>
      <c r="L85" s="14" t="n"/>
      <c r="M85" s="14" t="inlineStr">
        <is>
          <t>ok</t>
        </is>
      </c>
      <c r="N85" s="14" t="inlineStr">
        <is>
          <t>ok</t>
        </is>
      </c>
      <c r="O85" s="14" t="inlineStr">
        <is>
          <t>unsupported</t>
        </is>
      </c>
      <c r="P85" s="14" t="inlineStr">
        <is>
          <t>unsupported</t>
        </is>
      </c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inlineStr">
        <is>
          <t>NOT_EXPRESSIBLE</t>
        </is>
      </c>
      <c r="Z85" s="14" t="inlineStr">
        <is>
          <t>yes</t>
        </is>
      </c>
    </row>
    <row r="86">
      <c r="A86" s="14" t="inlineStr">
        <is>
          <t>sum</t>
        </is>
      </c>
      <c r="B86" s="14" t="inlineStr">
        <is>
          <t>reduction</t>
        </is>
      </c>
      <c r="C86" s="14" t="inlineStr">
        <is>
          <t>s</t>
        </is>
      </c>
      <c r="D86" s="14" t="inlineStr">
        <is>
          <t>max</t>
        </is>
      </c>
      <c r="E86" s="14" t="n">
        <v>256</v>
      </c>
      <c r="F86" s="14" t="n">
        <v>0</v>
      </c>
      <c r="G86" s="14" t="n">
        <v>1</v>
      </c>
      <c r="H86" s="14" t="n">
        <v>56</v>
      </c>
      <c r="I86" s="14" t="n">
        <v>53</v>
      </c>
      <c r="J86" s="14" t="n"/>
      <c r="K86" s="14" t="n"/>
      <c r="L86" s="14" t="n"/>
      <c r="M86" s="14" t="inlineStr">
        <is>
          <t>ok</t>
        </is>
      </c>
      <c r="N86" s="14" t="inlineStr">
        <is>
          <t>ok</t>
        </is>
      </c>
      <c r="O86" s="14" t="inlineStr">
        <is>
          <t>unsupported</t>
        </is>
      </c>
      <c r="P86" s="14" t="inlineStr">
        <is>
          <t>unsupported</t>
        </is>
      </c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inlineStr">
        <is>
          <t>NOT_EXPRESSIBLE</t>
        </is>
      </c>
      <c r="Z86" s="14" t="inlineStr">
        <is>
          <t>yes</t>
        </is>
      </c>
    </row>
    <row r="87">
      <c r="A87" s="14" t="inlineStr">
        <is>
          <t>sum</t>
        </is>
      </c>
      <c r="B87" s="14" t="inlineStr">
        <is>
          <t>reduction</t>
        </is>
      </c>
      <c r="C87" s="14" t="inlineStr">
        <is>
          <t>s</t>
        </is>
      </c>
      <c r="D87" s="14" t="inlineStr">
        <is>
          <t>ramp</t>
        </is>
      </c>
      <c r="E87" s="14" t="n">
        <v>256</v>
      </c>
      <c r="F87" s="14" t="n">
        <v>0</v>
      </c>
      <c r="G87" s="14" t="n">
        <v>1</v>
      </c>
      <c r="H87" s="14" t="n">
        <v>56</v>
      </c>
      <c r="I87" s="14" t="n">
        <v>53</v>
      </c>
      <c r="J87" s="14" t="n"/>
      <c r="K87" s="14" t="n"/>
      <c r="L87" s="14" t="n"/>
      <c r="M87" s="14" t="inlineStr">
        <is>
          <t>ok</t>
        </is>
      </c>
      <c r="N87" s="14" t="inlineStr">
        <is>
          <t>ok</t>
        </is>
      </c>
      <c r="O87" s="14" t="inlineStr">
        <is>
          <t>unsupported</t>
        </is>
      </c>
      <c r="P87" s="14" t="inlineStr">
        <is>
          <t>unsupported</t>
        </is>
      </c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inlineStr">
        <is>
          <t>NOT_EXPRESSIBLE</t>
        </is>
      </c>
      <c r="Z87" s="14" t="inlineStr">
        <is>
          <t>yes</t>
        </is>
      </c>
    </row>
    <row r="88">
      <c r="A88" s="14" t="inlineStr">
        <is>
          <t>sum</t>
        </is>
      </c>
      <c r="B88" s="14" t="inlineStr">
        <is>
          <t>reduction</t>
        </is>
      </c>
      <c r="C88" s="14" t="inlineStr">
        <is>
          <t>m</t>
        </is>
      </c>
      <c r="D88" s="14" t="inlineStr">
        <is>
          <t>hash</t>
        </is>
      </c>
      <c r="E88" s="14" t="n">
        <v>65536</v>
      </c>
      <c r="F88" s="14" t="n">
        <v>0</v>
      </c>
      <c r="G88" s="14" t="n">
        <v>1</v>
      </c>
      <c r="H88" s="14" t="n">
        <v>13768</v>
      </c>
      <c r="I88" s="14" t="n">
        <v>12328</v>
      </c>
      <c r="J88" s="14" t="n"/>
      <c r="K88" s="14" t="n"/>
      <c r="L88" s="14" t="n"/>
      <c r="M88" s="14" t="inlineStr">
        <is>
          <t>ok</t>
        </is>
      </c>
      <c r="N88" s="14" t="inlineStr">
        <is>
          <t>ok</t>
        </is>
      </c>
      <c r="O88" s="14" t="inlineStr">
        <is>
          <t>unsupported</t>
        </is>
      </c>
      <c r="P88" s="14" t="inlineStr">
        <is>
          <t>unsupported</t>
        </is>
      </c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inlineStr">
        <is>
          <t>NOT_EXPRESSIBLE</t>
        </is>
      </c>
      <c r="Z88" s="14" t="inlineStr">
        <is>
          <t>yes</t>
        </is>
      </c>
    </row>
    <row r="89">
      <c r="A89" s="14" t="inlineStr">
        <is>
          <t>sum</t>
        </is>
      </c>
      <c r="B89" s="14" t="inlineStr">
        <is>
          <t>reduction</t>
        </is>
      </c>
      <c r="C89" s="14" t="inlineStr">
        <is>
          <t>m</t>
        </is>
      </c>
      <c r="D89" s="14" t="inlineStr">
        <is>
          <t>max</t>
        </is>
      </c>
      <c r="E89" s="14" t="n">
        <v>65536</v>
      </c>
      <c r="F89" s="14" t="n">
        <v>0</v>
      </c>
      <c r="G89" s="14" t="n">
        <v>1</v>
      </c>
      <c r="H89" s="14" t="n">
        <v>14480</v>
      </c>
      <c r="I89" s="14" t="n">
        <v>12576</v>
      </c>
      <c r="J89" s="14" t="n"/>
      <c r="K89" s="14" t="n"/>
      <c r="L89" s="14" t="n"/>
      <c r="M89" s="14" t="inlineStr">
        <is>
          <t>ok</t>
        </is>
      </c>
      <c r="N89" s="14" t="inlineStr">
        <is>
          <t>ok</t>
        </is>
      </c>
      <c r="O89" s="14" t="inlineStr">
        <is>
          <t>unsupported</t>
        </is>
      </c>
      <c r="P89" s="14" t="inlineStr">
        <is>
          <t>unsupported</t>
        </is>
      </c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inlineStr">
        <is>
          <t>NOT_EXPRESSIBLE</t>
        </is>
      </c>
      <c r="Z89" s="14" t="inlineStr">
        <is>
          <t>yes</t>
        </is>
      </c>
    </row>
    <row r="90">
      <c r="A90" s="14" t="inlineStr">
        <is>
          <t>sum</t>
        </is>
      </c>
      <c r="B90" s="14" t="inlineStr">
        <is>
          <t>reduction</t>
        </is>
      </c>
      <c r="C90" s="14" t="inlineStr">
        <is>
          <t>m</t>
        </is>
      </c>
      <c r="D90" s="14" t="inlineStr">
        <is>
          <t>ramp</t>
        </is>
      </c>
      <c r="E90" s="14" t="n">
        <v>65536</v>
      </c>
      <c r="F90" s="14" t="n">
        <v>0</v>
      </c>
      <c r="G90" s="14" t="n">
        <v>1</v>
      </c>
      <c r="H90" s="14" t="n">
        <v>15557</v>
      </c>
      <c r="I90" s="14" t="n">
        <v>12471</v>
      </c>
      <c r="J90" s="14" t="n"/>
      <c r="K90" s="14" t="n"/>
      <c r="L90" s="14" t="n"/>
      <c r="M90" s="14" t="inlineStr">
        <is>
          <t>ok</t>
        </is>
      </c>
      <c r="N90" s="14" t="inlineStr">
        <is>
          <t>ok</t>
        </is>
      </c>
      <c r="O90" s="14" t="inlineStr">
        <is>
          <t>unsupported</t>
        </is>
      </c>
      <c r="P90" s="14" t="inlineStr">
        <is>
          <t>unsupported</t>
        </is>
      </c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inlineStr">
        <is>
          <t>NOT_EXPRESSIBLE</t>
        </is>
      </c>
      <c r="Z90" s="14" t="inlineStr">
        <is>
          <t>yes</t>
        </is>
      </c>
    </row>
    <row r="91">
      <c r="A91" s="14" t="inlineStr">
        <is>
          <t>sum</t>
        </is>
      </c>
      <c r="B91" s="14" t="inlineStr">
        <is>
          <t>reduction</t>
        </is>
      </c>
      <c r="C91" s="14" t="inlineStr">
        <is>
          <t>l</t>
        </is>
      </c>
      <c r="D91" s="14" t="inlineStr">
        <is>
          <t>hash</t>
        </is>
      </c>
      <c r="E91" s="14" t="n">
        <v>4194304</v>
      </c>
      <c r="F91" s="14" t="n">
        <v>0</v>
      </c>
      <c r="G91" s="14" t="n">
        <v>1</v>
      </c>
      <c r="H91" s="14" t="n">
        <v>1287100</v>
      </c>
      <c r="I91" s="14" t="n">
        <v>1313100</v>
      </c>
      <c r="J91" s="14" t="n"/>
      <c r="K91" s="14" t="n"/>
      <c r="L91" s="14" t="n"/>
      <c r="M91" s="14" t="inlineStr">
        <is>
          <t>ok</t>
        </is>
      </c>
      <c r="N91" s="14" t="inlineStr">
        <is>
          <t>ok</t>
        </is>
      </c>
      <c r="O91" s="14" t="inlineStr">
        <is>
          <t>unsupported</t>
        </is>
      </c>
      <c r="P91" s="14" t="inlineStr">
        <is>
          <t>unsupported</t>
        </is>
      </c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inlineStr">
        <is>
          <t>NOT_EXPRESSIBLE</t>
        </is>
      </c>
      <c r="Z91" s="14" t="inlineStr">
        <is>
          <t>yes</t>
        </is>
      </c>
    </row>
    <row r="92">
      <c r="A92" s="14" t="inlineStr">
        <is>
          <t>sum</t>
        </is>
      </c>
      <c r="B92" s="14" t="inlineStr">
        <is>
          <t>reduction</t>
        </is>
      </c>
      <c r="C92" s="14" t="inlineStr">
        <is>
          <t>l</t>
        </is>
      </c>
      <c r="D92" s="14" t="inlineStr">
        <is>
          <t>max</t>
        </is>
      </c>
      <c r="E92" s="14" t="n">
        <v>4194304</v>
      </c>
      <c r="F92" s="14" t="n">
        <v>0</v>
      </c>
      <c r="G92" s="14" t="n">
        <v>1</v>
      </c>
      <c r="H92" s="14" t="n">
        <v>1297050</v>
      </c>
      <c r="I92" s="14" t="n">
        <v>1272200</v>
      </c>
      <c r="J92" s="14" t="n"/>
      <c r="K92" s="14" t="n"/>
      <c r="L92" s="14" t="n"/>
      <c r="M92" s="14" t="inlineStr">
        <is>
          <t>ok</t>
        </is>
      </c>
      <c r="N92" s="14" t="inlineStr">
        <is>
          <t>ok</t>
        </is>
      </c>
      <c r="O92" s="14" t="inlineStr">
        <is>
          <t>unsupported</t>
        </is>
      </c>
      <c r="P92" s="14" t="inlineStr">
        <is>
          <t>unsupported</t>
        </is>
      </c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inlineStr">
        <is>
          <t>NOT_EXPRESSIBLE</t>
        </is>
      </c>
      <c r="Z92" s="14" t="inlineStr">
        <is>
          <t>yes</t>
        </is>
      </c>
    </row>
    <row r="93">
      <c r="A93" s="14" t="inlineStr">
        <is>
          <t>sum</t>
        </is>
      </c>
      <c r="B93" s="14" t="inlineStr">
        <is>
          <t>reduction</t>
        </is>
      </c>
      <c r="C93" s="14" t="inlineStr">
        <is>
          <t>l</t>
        </is>
      </c>
      <c r="D93" s="14" t="inlineStr">
        <is>
          <t>ramp</t>
        </is>
      </c>
      <c r="E93" s="14" t="n">
        <v>4194304</v>
      </c>
      <c r="F93" s="14" t="n">
        <v>0</v>
      </c>
      <c r="G93" s="14" t="n">
        <v>1</v>
      </c>
      <c r="H93" s="14" t="n">
        <v>1278200</v>
      </c>
      <c r="I93" s="14" t="n">
        <v>1290650</v>
      </c>
      <c r="J93" s="14" t="n"/>
      <c r="K93" s="14" t="n"/>
      <c r="L93" s="14" t="n"/>
      <c r="M93" s="14" t="inlineStr">
        <is>
          <t>ok</t>
        </is>
      </c>
      <c r="N93" s="14" t="inlineStr">
        <is>
          <t>ok</t>
        </is>
      </c>
      <c r="O93" s="14" t="inlineStr">
        <is>
          <t>unsupported</t>
        </is>
      </c>
      <c r="P93" s="14" t="inlineStr">
        <is>
          <t>unsupported</t>
        </is>
      </c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inlineStr">
        <is>
          <t>NOT_EXPRESSIBLE</t>
        </is>
      </c>
      <c r="Z93" s="14" t="inlineStr">
        <is>
          <t>yes</t>
        </is>
      </c>
    </row>
    <row r="94">
      <c r="A94" s="14" t="inlineStr">
        <is>
          <t>dot</t>
        </is>
      </c>
      <c r="B94" s="14" t="inlineStr">
        <is>
          <t>reduction</t>
        </is>
      </c>
      <c r="C94" s="14" t="inlineStr">
        <is>
          <t>s</t>
        </is>
      </c>
      <c r="D94" s="14" t="inlineStr">
        <is>
          <t>hash</t>
        </is>
      </c>
      <c r="E94" s="14" t="n">
        <v>128</v>
      </c>
      <c r="F94" s="14" t="n">
        <v>0</v>
      </c>
      <c r="G94" s="14" t="n">
        <v>1</v>
      </c>
      <c r="H94" s="14" t="n">
        <v>58</v>
      </c>
      <c r="I94" s="14" t="n">
        <v>66</v>
      </c>
      <c r="J94" s="14" t="n"/>
      <c r="K94" s="14" t="n"/>
      <c r="L94" s="14" t="n"/>
      <c r="M94" s="14" t="inlineStr">
        <is>
          <t>ok</t>
        </is>
      </c>
      <c r="N94" s="14" t="inlineStr">
        <is>
          <t>ok</t>
        </is>
      </c>
      <c r="O94" s="14" t="inlineStr">
        <is>
          <t>unsupported</t>
        </is>
      </c>
      <c r="P94" s="14" t="inlineStr">
        <is>
          <t>unsupported</t>
        </is>
      </c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inlineStr">
        <is>
          <t>NOT_EXPRESSIBLE</t>
        </is>
      </c>
      <c r="Z94" s="14" t="inlineStr">
        <is>
          <t>yes</t>
        </is>
      </c>
    </row>
    <row r="95">
      <c r="A95" s="14" t="inlineStr">
        <is>
          <t>dot</t>
        </is>
      </c>
      <c r="B95" s="14" t="inlineStr">
        <is>
          <t>reduction</t>
        </is>
      </c>
      <c r="C95" s="14" t="inlineStr">
        <is>
          <t>s</t>
        </is>
      </c>
      <c r="D95" s="14" t="inlineStr">
        <is>
          <t>max</t>
        </is>
      </c>
      <c r="E95" s="14" t="n">
        <v>128</v>
      </c>
      <c r="F95" s="14" t="n">
        <v>0</v>
      </c>
      <c r="G95" s="14" t="n">
        <v>1</v>
      </c>
      <c r="H95" s="14" t="n">
        <v>58</v>
      </c>
      <c r="I95" s="14" t="n">
        <v>65</v>
      </c>
      <c r="J95" s="14" t="n"/>
      <c r="K95" s="14" t="n"/>
      <c r="L95" s="14" t="n"/>
      <c r="M95" s="14" t="inlineStr">
        <is>
          <t>ok</t>
        </is>
      </c>
      <c r="N95" s="14" t="inlineStr">
        <is>
          <t>ok</t>
        </is>
      </c>
      <c r="O95" s="14" t="inlineStr">
        <is>
          <t>unsupported</t>
        </is>
      </c>
      <c r="P95" s="14" t="inlineStr">
        <is>
          <t>unsupported</t>
        </is>
      </c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inlineStr">
        <is>
          <t>NOT_EXPRESSIBLE</t>
        </is>
      </c>
      <c r="Z95" s="14" t="inlineStr">
        <is>
          <t>yes</t>
        </is>
      </c>
    </row>
    <row r="96">
      <c r="A96" s="14" t="inlineStr">
        <is>
          <t>dot</t>
        </is>
      </c>
      <c r="B96" s="14" t="inlineStr">
        <is>
          <t>reduction</t>
        </is>
      </c>
      <c r="C96" s="14" t="inlineStr">
        <is>
          <t>s</t>
        </is>
      </c>
      <c r="D96" s="14" t="inlineStr">
        <is>
          <t>ramp</t>
        </is>
      </c>
      <c r="E96" s="14" t="n">
        <v>128</v>
      </c>
      <c r="F96" s="14" t="n">
        <v>0</v>
      </c>
      <c r="G96" s="14" t="n">
        <v>1</v>
      </c>
      <c r="H96" s="14" t="n">
        <v>58</v>
      </c>
      <c r="I96" s="14" t="n">
        <v>65</v>
      </c>
      <c r="J96" s="14" t="n"/>
      <c r="K96" s="14" t="n"/>
      <c r="L96" s="14" t="n"/>
      <c r="M96" s="14" t="inlineStr">
        <is>
          <t>ok</t>
        </is>
      </c>
      <c r="N96" s="14" t="inlineStr">
        <is>
          <t>ok</t>
        </is>
      </c>
      <c r="O96" s="14" t="inlineStr">
        <is>
          <t>unsupported</t>
        </is>
      </c>
      <c r="P96" s="14" t="inlineStr">
        <is>
          <t>unsupported</t>
        </is>
      </c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inlineStr">
        <is>
          <t>NOT_EXPRESSIBLE</t>
        </is>
      </c>
      <c r="Z96" s="14" t="inlineStr">
        <is>
          <t>yes</t>
        </is>
      </c>
    </row>
    <row r="97">
      <c r="A97" s="14" t="inlineStr">
        <is>
          <t>dot</t>
        </is>
      </c>
      <c r="B97" s="14" t="inlineStr">
        <is>
          <t>reduction</t>
        </is>
      </c>
      <c r="C97" s="14" t="inlineStr">
        <is>
          <t>m</t>
        </is>
      </c>
      <c r="D97" s="14" t="inlineStr">
        <is>
          <t>hash</t>
        </is>
      </c>
      <c r="E97" s="14" t="n">
        <v>32768</v>
      </c>
      <c r="F97" s="14" t="n">
        <v>0</v>
      </c>
      <c r="G97" s="14" t="n">
        <v>1</v>
      </c>
      <c r="H97" s="14" t="n">
        <v>13967</v>
      </c>
      <c r="I97" s="14" t="n">
        <v>13561</v>
      </c>
      <c r="J97" s="14" t="n"/>
      <c r="K97" s="14" t="n"/>
      <c r="L97" s="14" t="n"/>
      <c r="M97" s="14" t="inlineStr">
        <is>
          <t>ok</t>
        </is>
      </c>
      <c r="N97" s="14" t="inlineStr">
        <is>
          <t>ok</t>
        </is>
      </c>
      <c r="O97" s="14" t="inlineStr">
        <is>
          <t>unsupported</t>
        </is>
      </c>
      <c r="P97" s="14" t="inlineStr">
        <is>
          <t>unsupported</t>
        </is>
      </c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inlineStr">
        <is>
          <t>NOT_EXPRESSIBLE</t>
        </is>
      </c>
      <c r="Z97" s="14" t="inlineStr">
        <is>
          <t>yes</t>
        </is>
      </c>
    </row>
    <row r="98">
      <c r="A98" s="14" t="inlineStr">
        <is>
          <t>dot</t>
        </is>
      </c>
      <c r="B98" s="14" t="inlineStr">
        <is>
          <t>reduction</t>
        </is>
      </c>
      <c r="C98" s="14" t="inlineStr">
        <is>
          <t>m</t>
        </is>
      </c>
      <c r="D98" s="14" t="inlineStr">
        <is>
          <t>max</t>
        </is>
      </c>
      <c r="E98" s="14" t="n">
        <v>32768</v>
      </c>
      <c r="F98" s="14" t="n">
        <v>0</v>
      </c>
      <c r="G98" s="14" t="n">
        <v>1</v>
      </c>
      <c r="H98" s="14" t="n">
        <v>14032</v>
      </c>
      <c r="I98" s="14" t="n">
        <v>13642</v>
      </c>
      <c r="J98" s="14" t="n"/>
      <c r="K98" s="14" t="n"/>
      <c r="L98" s="14" t="n"/>
      <c r="M98" s="14" t="inlineStr">
        <is>
          <t>ok</t>
        </is>
      </c>
      <c r="N98" s="14" t="inlineStr">
        <is>
          <t>ok</t>
        </is>
      </c>
      <c r="O98" s="14" t="inlineStr">
        <is>
          <t>unsupported</t>
        </is>
      </c>
      <c r="P98" s="14" t="inlineStr">
        <is>
          <t>unsupported</t>
        </is>
      </c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inlineStr">
        <is>
          <t>NOT_EXPRESSIBLE</t>
        </is>
      </c>
      <c r="Z98" s="14" t="inlineStr">
        <is>
          <t>yes</t>
        </is>
      </c>
    </row>
    <row r="99">
      <c r="A99" s="14" t="inlineStr">
        <is>
          <t>dot</t>
        </is>
      </c>
      <c r="B99" s="14" t="inlineStr">
        <is>
          <t>reduction</t>
        </is>
      </c>
      <c r="C99" s="14" t="inlineStr">
        <is>
          <t>m</t>
        </is>
      </c>
      <c r="D99" s="14" t="inlineStr">
        <is>
          <t>ramp</t>
        </is>
      </c>
      <c r="E99" s="14" t="n">
        <v>32768</v>
      </c>
      <c r="F99" s="14" t="n">
        <v>0</v>
      </c>
      <c r="G99" s="14" t="n">
        <v>1</v>
      </c>
      <c r="H99" s="14" t="n">
        <v>13966</v>
      </c>
      <c r="I99" s="14" t="n">
        <v>13636</v>
      </c>
      <c r="J99" s="14" t="n"/>
      <c r="K99" s="14" t="n"/>
      <c r="L99" s="14" t="n"/>
      <c r="M99" s="14" t="inlineStr">
        <is>
          <t>ok</t>
        </is>
      </c>
      <c r="N99" s="14" t="inlineStr">
        <is>
          <t>ok</t>
        </is>
      </c>
      <c r="O99" s="14" t="inlineStr">
        <is>
          <t>unsupported</t>
        </is>
      </c>
      <c r="P99" s="14" t="inlineStr">
        <is>
          <t>unsupported</t>
        </is>
      </c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inlineStr">
        <is>
          <t>NOT_EXPRESSIBLE</t>
        </is>
      </c>
      <c r="Z99" s="14" t="inlineStr">
        <is>
          <t>yes</t>
        </is>
      </c>
    </row>
    <row r="100">
      <c r="A100" s="14" t="inlineStr">
        <is>
          <t>dot</t>
        </is>
      </c>
      <c r="B100" s="14" t="inlineStr">
        <is>
          <t>reduction</t>
        </is>
      </c>
      <c r="C100" s="14" t="inlineStr">
        <is>
          <t>l</t>
        </is>
      </c>
      <c r="D100" s="14" t="inlineStr">
        <is>
          <t>hash</t>
        </is>
      </c>
      <c r="E100" s="14" t="n">
        <v>2097152</v>
      </c>
      <c r="F100" s="14" t="n">
        <v>0</v>
      </c>
      <c r="G100" s="14" t="n">
        <v>1</v>
      </c>
      <c r="H100" s="14" t="n">
        <v>1104100</v>
      </c>
      <c r="I100" s="14" t="n">
        <v>1083800</v>
      </c>
      <c r="J100" s="14" t="n"/>
      <c r="K100" s="14" t="n"/>
      <c r="L100" s="14" t="n"/>
      <c r="M100" s="14" t="inlineStr">
        <is>
          <t>ok</t>
        </is>
      </c>
      <c r="N100" s="14" t="inlineStr">
        <is>
          <t>ok</t>
        </is>
      </c>
      <c r="O100" s="14" t="inlineStr">
        <is>
          <t>unsupported</t>
        </is>
      </c>
      <c r="P100" s="14" t="inlineStr">
        <is>
          <t>unsupported</t>
        </is>
      </c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inlineStr">
        <is>
          <t>NOT_EXPRESSIBLE</t>
        </is>
      </c>
      <c r="Z100" s="14" t="inlineStr">
        <is>
          <t>yes</t>
        </is>
      </c>
    </row>
    <row r="101">
      <c r="A101" s="14" t="inlineStr">
        <is>
          <t>dot</t>
        </is>
      </c>
      <c r="B101" s="14" t="inlineStr">
        <is>
          <t>reduction</t>
        </is>
      </c>
      <c r="C101" s="14" t="inlineStr">
        <is>
          <t>l</t>
        </is>
      </c>
      <c r="D101" s="14" t="inlineStr">
        <is>
          <t>max</t>
        </is>
      </c>
      <c r="E101" s="14" t="n">
        <v>2097152</v>
      </c>
      <c r="F101" s="14" t="n">
        <v>0</v>
      </c>
      <c r="G101" s="14" t="n">
        <v>1</v>
      </c>
      <c r="H101" s="14" t="n">
        <v>1118200</v>
      </c>
      <c r="I101" s="14" t="n">
        <v>1094000</v>
      </c>
      <c r="J101" s="14" t="n"/>
      <c r="K101" s="14" t="n"/>
      <c r="L101" s="14" t="n"/>
      <c r="M101" s="14" t="inlineStr">
        <is>
          <t>ok</t>
        </is>
      </c>
      <c r="N101" s="14" t="inlineStr">
        <is>
          <t>ok</t>
        </is>
      </c>
      <c r="O101" s="14" t="inlineStr">
        <is>
          <t>unsupported</t>
        </is>
      </c>
      <c r="P101" s="14" t="inlineStr">
        <is>
          <t>unsupported</t>
        </is>
      </c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inlineStr">
        <is>
          <t>NOT_EXPRESSIBLE</t>
        </is>
      </c>
      <c r="Z101" s="14" t="inlineStr">
        <is>
          <t>yes</t>
        </is>
      </c>
    </row>
    <row r="102">
      <c r="A102" s="14" t="inlineStr">
        <is>
          <t>dot</t>
        </is>
      </c>
      <c r="B102" s="14" t="inlineStr">
        <is>
          <t>reduction</t>
        </is>
      </c>
      <c r="C102" s="14" t="inlineStr">
        <is>
          <t>l</t>
        </is>
      </c>
      <c r="D102" s="14" t="inlineStr">
        <is>
          <t>ramp</t>
        </is>
      </c>
      <c r="E102" s="14" t="n">
        <v>2097152</v>
      </c>
      <c r="F102" s="14" t="n">
        <v>0</v>
      </c>
      <c r="G102" s="14" t="n">
        <v>1</v>
      </c>
      <c r="H102" s="14" t="n">
        <v>1106050</v>
      </c>
      <c r="I102" s="14" t="n">
        <v>1116150</v>
      </c>
      <c r="J102" s="14" t="n"/>
      <c r="K102" s="14" t="n"/>
      <c r="L102" s="14" t="n"/>
      <c r="M102" s="14" t="inlineStr">
        <is>
          <t>ok</t>
        </is>
      </c>
      <c r="N102" s="14" t="inlineStr">
        <is>
          <t>ok</t>
        </is>
      </c>
      <c r="O102" s="14" t="inlineStr">
        <is>
          <t>unsupported</t>
        </is>
      </c>
      <c r="P102" s="14" t="inlineStr">
        <is>
          <t>unsupported</t>
        </is>
      </c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inlineStr">
        <is>
          <t>NOT_EXPRESSIBLE</t>
        </is>
      </c>
      <c r="Z102" s="14" t="inlineStr">
        <is>
          <t>yes</t>
        </is>
      </c>
    </row>
    <row r="103">
      <c r="A103" s="14" t="inlineStr">
        <is>
          <t>scan</t>
        </is>
      </c>
      <c r="B103" s="14" t="inlineStr">
        <is>
          <t>scan</t>
        </is>
      </c>
      <c r="C103" s="14" t="inlineStr">
        <is>
          <t>s</t>
        </is>
      </c>
      <c r="D103" s="14" t="inlineStr">
        <is>
          <t>hash</t>
        </is>
      </c>
      <c r="E103" s="14" t="n">
        <v>256</v>
      </c>
      <c r="F103" s="14" t="n">
        <v>0</v>
      </c>
      <c r="G103" s="14" t="n">
        <v>256</v>
      </c>
      <c r="H103" s="14" t="n">
        <v>87</v>
      </c>
      <c r="I103" s="14" t="n">
        <v>172</v>
      </c>
      <c r="J103" s="14" t="n"/>
      <c r="K103" s="14" t="n"/>
      <c r="L103" s="14" t="n"/>
      <c r="M103" s="14" t="inlineStr">
        <is>
          <t>ok</t>
        </is>
      </c>
      <c r="N103" s="14" t="inlineStr">
        <is>
          <t>ok</t>
        </is>
      </c>
      <c r="O103" s="14" t="inlineStr">
        <is>
          <t>unsupported</t>
        </is>
      </c>
      <c r="P103" s="14" t="inlineStr">
        <is>
          <t>unsupported</t>
        </is>
      </c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inlineStr">
        <is>
          <t>NOT_EXPRESSIBLE</t>
        </is>
      </c>
      <c r="Z103" s="14" t="inlineStr">
        <is>
          <t>yes</t>
        </is>
      </c>
    </row>
    <row r="104">
      <c r="A104" s="14" t="inlineStr">
        <is>
          <t>scan</t>
        </is>
      </c>
      <c r="B104" s="14" t="inlineStr">
        <is>
          <t>scan</t>
        </is>
      </c>
      <c r="C104" s="14" t="inlineStr">
        <is>
          <t>s</t>
        </is>
      </c>
      <c r="D104" s="14" t="inlineStr">
        <is>
          <t>max</t>
        </is>
      </c>
      <c r="E104" s="14" t="n">
        <v>256</v>
      </c>
      <c r="F104" s="14" t="n">
        <v>0</v>
      </c>
      <c r="G104" s="14" t="n">
        <v>256</v>
      </c>
      <c r="H104" s="14" t="n">
        <v>88</v>
      </c>
      <c r="I104" s="14" t="n">
        <v>174</v>
      </c>
      <c r="J104" s="14" t="n"/>
      <c r="K104" s="14" t="n"/>
      <c r="L104" s="14" t="n"/>
      <c r="M104" s="14" t="inlineStr">
        <is>
          <t>ok</t>
        </is>
      </c>
      <c r="N104" s="14" t="inlineStr">
        <is>
          <t>ok</t>
        </is>
      </c>
      <c r="O104" s="14" t="inlineStr">
        <is>
          <t>unsupported</t>
        </is>
      </c>
      <c r="P104" s="14" t="inlineStr">
        <is>
          <t>unsupported</t>
        </is>
      </c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inlineStr">
        <is>
          <t>NOT_EXPRESSIBLE</t>
        </is>
      </c>
      <c r="Z104" s="14" t="inlineStr">
        <is>
          <t>yes</t>
        </is>
      </c>
    </row>
    <row r="105">
      <c r="A105" s="14" t="inlineStr">
        <is>
          <t>scan</t>
        </is>
      </c>
      <c r="B105" s="14" t="inlineStr">
        <is>
          <t>scan</t>
        </is>
      </c>
      <c r="C105" s="14" t="inlineStr">
        <is>
          <t>s</t>
        </is>
      </c>
      <c r="D105" s="14" t="inlineStr">
        <is>
          <t>ramp</t>
        </is>
      </c>
      <c r="E105" s="14" t="n">
        <v>256</v>
      </c>
      <c r="F105" s="14" t="n">
        <v>0</v>
      </c>
      <c r="G105" s="14" t="n">
        <v>256</v>
      </c>
      <c r="H105" s="14" t="n">
        <v>87</v>
      </c>
      <c r="I105" s="14" t="n">
        <v>171</v>
      </c>
      <c r="J105" s="14" t="n"/>
      <c r="K105" s="14" t="n"/>
      <c r="L105" s="14" t="n"/>
      <c r="M105" s="14" t="inlineStr">
        <is>
          <t>ok</t>
        </is>
      </c>
      <c r="N105" s="14" t="inlineStr">
        <is>
          <t>ok</t>
        </is>
      </c>
      <c r="O105" s="14" t="inlineStr">
        <is>
          <t>unsupported</t>
        </is>
      </c>
      <c r="P105" s="14" t="inlineStr">
        <is>
          <t>unsupported</t>
        </is>
      </c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inlineStr">
        <is>
          <t>NOT_EXPRESSIBLE</t>
        </is>
      </c>
      <c r="Z105" s="14" t="inlineStr">
        <is>
          <t>yes</t>
        </is>
      </c>
    </row>
    <row r="106">
      <c r="A106" s="14" t="inlineStr">
        <is>
          <t>scan</t>
        </is>
      </c>
      <c r="B106" s="14" t="inlineStr">
        <is>
          <t>scan</t>
        </is>
      </c>
      <c r="C106" s="14" t="inlineStr">
        <is>
          <t>m</t>
        </is>
      </c>
      <c r="D106" s="14" t="inlineStr">
        <is>
          <t>hash</t>
        </is>
      </c>
      <c r="E106" s="14" t="n">
        <v>65536</v>
      </c>
      <c r="F106" s="14" t="n">
        <v>0</v>
      </c>
      <c r="G106" s="14" t="n">
        <v>65536</v>
      </c>
      <c r="H106" s="14" t="n">
        <v>23606</v>
      </c>
      <c r="I106" s="14" t="n">
        <v>40275</v>
      </c>
      <c r="J106" s="14" t="n"/>
      <c r="K106" s="14" t="n"/>
      <c r="L106" s="14" t="n"/>
      <c r="M106" s="14" t="inlineStr">
        <is>
          <t>ok</t>
        </is>
      </c>
      <c r="N106" s="14" t="inlineStr">
        <is>
          <t>ok</t>
        </is>
      </c>
      <c r="O106" s="14" t="inlineStr">
        <is>
          <t>unsupported</t>
        </is>
      </c>
      <c r="P106" s="14" t="inlineStr">
        <is>
          <t>unsupported</t>
        </is>
      </c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inlineStr">
        <is>
          <t>NOT_EXPRESSIBLE</t>
        </is>
      </c>
      <c r="Z106" s="14" t="inlineStr">
        <is>
          <t>yes</t>
        </is>
      </c>
    </row>
    <row r="107">
      <c r="A107" s="14" t="inlineStr">
        <is>
          <t>scan</t>
        </is>
      </c>
      <c r="B107" s="14" t="inlineStr">
        <is>
          <t>scan</t>
        </is>
      </c>
      <c r="C107" s="14" t="inlineStr">
        <is>
          <t>m</t>
        </is>
      </c>
      <c r="D107" s="14" t="inlineStr">
        <is>
          <t>max</t>
        </is>
      </c>
      <c r="E107" s="14" t="n">
        <v>65536</v>
      </c>
      <c r="F107" s="14" t="n">
        <v>0</v>
      </c>
      <c r="G107" s="14" t="n">
        <v>65536</v>
      </c>
      <c r="H107" s="14" t="n">
        <v>23400</v>
      </c>
      <c r="I107" s="14" t="n">
        <v>38991</v>
      </c>
      <c r="J107" s="14" t="n"/>
      <c r="K107" s="14" t="n"/>
      <c r="L107" s="14" t="n"/>
      <c r="M107" s="14" t="inlineStr">
        <is>
          <t>ok</t>
        </is>
      </c>
      <c r="N107" s="14" t="inlineStr">
        <is>
          <t>ok</t>
        </is>
      </c>
      <c r="O107" s="14" t="inlineStr">
        <is>
          <t>unsupported</t>
        </is>
      </c>
      <c r="P107" s="14" t="inlineStr">
        <is>
          <t>unsupported</t>
        </is>
      </c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inlineStr">
        <is>
          <t>NOT_EXPRESSIBLE</t>
        </is>
      </c>
      <c r="Z107" s="14" t="inlineStr">
        <is>
          <t>yes</t>
        </is>
      </c>
    </row>
    <row r="108">
      <c r="A108" s="14" t="inlineStr">
        <is>
          <t>scan</t>
        </is>
      </c>
      <c r="B108" s="14" t="inlineStr">
        <is>
          <t>scan</t>
        </is>
      </c>
      <c r="C108" s="14" t="inlineStr">
        <is>
          <t>m</t>
        </is>
      </c>
      <c r="D108" s="14" t="inlineStr">
        <is>
          <t>ramp</t>
        </is>
      </c>
      <c r="E108" s="14" t="n">
        <v>65536</v>
      </c>
      <c r="F108" s="14" t="n">
        <v>0</v>
      </c>
      <c r="G108" s="14" t="n">
        <v>65536</v>
      </c>
      <c r="H108" s="14" t="n">
        <v>23323</v>
      </c>
      <c r="I108" s="14" t="n">
        <v>39049</v>
      </c>
      <c r="J108" s="14" t="n"/>
      <c r="K108" s="14" t="n"/>
      <c r="L108" s="14" t="n"/>
      <c r="M108" s="14" t="inlineStr">
        <is>
          <t>ok</t>
        </is>
      </c>
      <c r="N108" s="14" t="inlineStr">
        <is>
          <t>ok</t>
        </is>
      </c>
      <c r="O108" s="14" t="inlineStr">
        <is>
          <t>unsupported</t>
        </is>
      </c>
      <c r="P108" s="14" t="inlineStr">
        <is>
          <t>unsupported</t>
        </is>
      </c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inlineStr">
        <is>
          <t>NOT_EXPRESSIBLE</t>
        </is>
      </c>
      <c r="Z108" s="14" t="inlineStr">
        <is>
          <t>yes</t>
        </is>
      </c>
    </row>
    <row r="109">
      <c r="A109" s="14" t="inlineStr">
        <is>
          <t>scan</t>
        </is>
      </c>
      <c r="B109" s="14" t="inlineStr">
        <is>
          <t>scan</t>
        </is>
      </c>
      <c r="C109" s="14" t="inlineStr">
        <is>
          <t>l</t>
        </is>
      </c>
      <c r="D109" s="14" t="inlineStr">
        <is>
          <t>hash</t>
        </is>
      </c>
      <c r="E109" s="14" t="n">
        <v>4194304</v>
      </c>
      <c r="F109" s="14" t="n">
        <v>0</v>
      </c>
      <c r="G109" s="14" t="n">
        <v>4194304</v>
      </c>
      <c r="H109" s="14" t="n">
        <v>4094200</v>
      </c>
      <c r="I109" s="14" t="n">
        <v>4289500</v>
      </c>
      <c r="J109" s="14" t="n"/>
      <c r="K109" s="14" t="n"/>
      <c r="L109" s="14" t="n"/>
      <c r="M109" s="14" t="inlineStr">
        <is>
          <t>ok</t>
        </is>
      </c>
      <c r="N109" s="14" t="inlineStr">
        <is>
          <t>ok</t>
        </is>
      </c>
      <c r="O109" s="14" t="inlineStr">
        <is>
          <t>unsupported</t>
        </is>
      </c>
      <c r="P109" s="14" t="inlineStr">
        <is>
          <t>unsupported</t>
        </is>
      </c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inlineStr">
        <is>
          <t>NOT_EXPRESSIBLE</t>
        </is>
      </c>
      <c r="Z109" s="14" t="inlineStr">
        <is>
          <t>yes</t>
        </is>
      </c>
    </row>
    <row r="110">
      <c r="A110" s="14" t="inlineStr">
        <is>
          <t>scan</t>
        </is>
      </c>
      <c r="B110" s="14" t="inlineStr">
        <is>
          <t>scan</t>
        </is>
      </c>
      <c r="C110" s="14" t="inlineStr">
        <is>
          <t>l</t>
        </is>
      </c>
      <c r="D110" s="14" t="inlineStr">
        <is>
          <t>max</t>
        </is>
      </c>
      <c r="E110" s="14" t="n">
        <v>4194304</v>
      </c>
      <c r="F110" s="14" t="n">
        <v>0</v>
      </c>
      <c r="G110" s="14" t="n">
        <v>4194304</v>
      </c>
      <c r="H110" s="14" t="n">
        <v>3889900</v>
      </c>
      <c r="I110" s="14" t="n">
        <v>4388550</v>
      </c>
      <c r="J110" s="14" t="n"/>
      <c r="K110" s="14" t="n"/>
      <c r="L110" s="14" t="n"/>
      <c r="M110" s="14" t="inlineStr">
        <is>
          <t>ok</t>
        </is>
      </c>
      <c r="N110" s="14" t="inlineStr">
        <is>
          <t>ok</t>
        </is>
      </c>
      <c r="O110" s="14" t="inlineStr">
        <is>
          <t>unsupported</t>
        </is>
      </c>
      <c r="P110" s="14" t="inlineStr">
        <is>
          <t>unsupported</t>
        </is>
      </c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inlineStr">
        <is>
          <t>NOT_EXPRESSIBLE</t>
        </is>
      </c>
      <c r="Z110" s="14" t="inlineStr">
        <is>
          <t>yes</t>
        </is>
      </c>
    </row>
    <row r="111">
      <c r="A111" s="14" t="inlineStr">
        <is>
          <t>scan</t>
        </is>
      </c>
      <c r="B111" s="14" t="inlineStr">
        <is>
          <t>scan</t>
        </is>
      </c>
      <c r="C111" s="14" t="inlineStr">
        <is>
          <t>l</t>
        </is>
      </c>
      <c r="D111" s="14" t="inlineStr">
        <is>
          <t>ramp</t>
        </is>
      </c>
      <c r="E111" s="14" t="n">
        <v>4194304</v>
      </c>
      <c r="F111" s="14" t="n">
        <v>0</v>
      </c>
      <c r="G111" s="14" t="n">
        <v>4194304</v>
      </c>
      <c r="H111" s="14" t="n">
        <v>4652800</v>
      </c>
      <c r="I111" s="14" t="n">
        <v>4187450</v>
      </c>
      <c r="J111" s="14" t="n"/>
      <c r="K111" s="14" t="n"/>
      <c r="L111" s="14" t="n"/>
      <c r="M111" s="14" t="inlineStr">
        <is>
          <t>ok</t>
        </is>
      </c>
      <c r="N111" s="14" t="inlineStr">
        <is>
          <t>ok</t>
        </is>
      </c>
      <c r="O111" s="14" t="inlineStr">
        <is>
          <t>unsupported</t>
        </is>
      </c>
      <c r="P111" s="14" t="inlineStr">
        <is>
          <t>unsupported</t>
        </is>
      </c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inlineStr">
        <is>
          <t>NOT_EXPRESSIBLE</t>
        </is>
      </c>
      <c r="Z111" s="14" t="inlineStr">
        <is>
          <t>yes</t>
        </is>
      </c>
    </row>
    <row r="112">
      <c r="A112" s="14" t="inlineStr">
        <is>
          <t>hist</t>
        </is>
      </c>
      <c r="B112" s="14" t="inlineStr">
        <is>
          <t>scatter</t>
        </is>
      </c>
      <c r="C112" s="14" t="inlineStr">
        <is>
          <t>s</t>
        </is>
      </c>
      <c r="D112" s="14" t="inlineStr">
        <is>
          <t>hash</t>
        </is>
      </c>
      <c r="E112" s="14" t="n">
        <v>256</v>
      </c>
      <c r="F112" s="14" t="n">
        <v>0</v>
      </c>
      <c r="G112" s="14" t="n">
        <v>64</v>
      </c>
      <c r="H112" s="14" t="n">
        <v>120</v>
      </c>
      <c r="I112" s="14" t="n">
        <v>162</v>
      </c>
      <c r="J112" s="14" t="n"/>
      <c r="K112" s="14" t="n"/>
      <c r="L112" s="14" t="n"/>
      <c r="M112" s="14" t="inlineStr">
        <is>
          <t>ok</t>
        </is>
      </c>
      <c r="N112" s="14" t="inlineStr">
        <is>
          <t>ok</t>
        </is>
      </c>
      <c r="O112" s="14" t="inlineStr">
        <is>
          <t>unsupported</t>
        </is>
      </c>
      <c r="P112" s="14" t="inlineStr">
        <is>
          <t>unsupported</t>
        </is>
      </c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inlineStr">
        <is>
          <t>NOT_EXPRESSIBLE</t>
        </is>
      </c>
      <c r="Z112" s="14" t="inlineStr">
        <is>
          <t>yes</t>
        </is>
      </c>
    </row>
    <row r="113">
      <c r="A113" s="14" t="inlineStr">
        <is>
          <t>hist</t>
        </is>
      </c>
      <c r="B113" s="14" t="inlineStr">
        <is>
          <t>scatter</t>
        </is>
      </c>
      <c r="C113" s="14" t="inlineStr">
        <is>
          <t>s</t>
        </is>
      </c>
      <c r="D113" s="14" t="inlineStr">
        <is>
          <t>max</t>
        </is>
      </c>
      <c r="E113" s="14" t="n">
        <v>256</v>
      </c>
      <c r="F113" s="14" t="n">
        <v>0</v>
      </c>
      <c r="G113" s="14" t="n">
        <v>64</v>
      </c>
      <c r="H113" s="14" t="n">
        <v>482</v>
      </c>
      <c r="I113" s="14" t="n">
        <v>513</v>
      </c>
      <c r="J113" s="14" t="n"/>
      <c r="K113" s="14" t="n"/>
      <c r="L113" s="14" t="n"/>
      <c r="M113" s="14" t="inlineStr">
        <is>
          <t>ok</t>
        </is>
      </c>
      <c r="N113" s="14" t="inlineStr">
        <is>
          <t>ok</t>
        </is>
      </c>
      <c r="O113" s="14" t="inlineStr">
        <is>
          <t>unsupported</t>
        </is>
      </c>
      <c r="P113" s="14" t="inlineStr">
        <is>
          <t>unsupported</t>
        </is>
      </c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inlineStr">
        <is>
          <t>NOT_EXPRESSIBLE</t>
        </is>
      </c>
      <c r="Z113" s="14" t="inlineStr">
        <is>
          <t>yes</t>
        </is>
      </c>
    </row>
    <row r="114">
      <c r="A114" s="14" t="inlineStr">
        <is>
          <t>hist</t>
        </is>
      </c>
      <c r="B114" s="14" t="inlineStr">
        <is>
          <t>scatter</t>
        </is>
      </c>
      <c r="C114" s="14" t="inlineStr">
        <is>
          <t>s</t>
        </is>
      </c>
      <c r="D114" s="14" t="inlineStr">
        <is>
          <t>ramp</t>
        </is>
      </c>
      <c r="E114" s="14" t="n">
        <v>256</v>
      </c>
      <c r="F114" s="14" t="n">
        <v>0</v>
      </c>
      <c r="G114" s="14" t="n">
        <v>64</v>
      </c>
      <c r="H114" s="14" t="n">
        <v>236</v>
      </c>
      <c r="I114" s="14" t="n">
        <v>307</v>
      </c>
      <c r="J114" s="14" t="n"/>
      <c r="K114" s="14" t="n"/>
      <c r="L114" s="14" t="n"/>
      <c r="M114" s="14" t="inlineStr">
        <is>
          <t>ok</t>
        </is>
      </c>
      <c r="N114" s="14" t="inlineStr">
        <is>
          <t>ok</t>
        </is>
      </c>
      <c r="O114" s="14" t="inlineStr">
        <is>
          <t>unsupported</t>
        </is>
      </c>
      <c r="P114" s="14" t="inlineStr">
        <is>
          <t>unsupported</t>
        </is>
      </c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inlineStr">
        <is>
          <t>NOT_EXPRESSIBLE</t>
        </is>
      </c>
      <c r="Z114" s="14" t="inlineStr">
        <is>
          <t>yes</t>
        </is>
      </c>
    </row>
    <row r="115">
      <c r="A115" s="14" t="inlineStr">
        <is>
          <t>hist</t>
        </is>
      </c>
      <c r="B115" s="14" t="inlineStr">
        <is>
          <t>scatter</t>
        </is>
      </c>
      <c r="C115" s="14" t="inlineStr">
        <is>
          <t>m</t>
        </is>
      </c>
      <c r="D115" s="14" t="inlineStr">
        <is>
          <t>hash</t>
        </is>
      </c>
      <c r="E115" s="14" t="n">
        <v>65536</v>
      </c>
      <c r="F115" s="14" t="n">
        <v>0</v>
      </c>
      <c r="G115" s="14" t="n">
        <v>64</v>
      </c>
      <c r="H115" s="14" t="n">
        <v>27903</v>
      </c>
      <c r="I115" s="14" t="n">
        <v>37150</v>
      </c>
      <c r="J115" s="14" t="n"/>
      <c r="K115" s="14" t="n"/>
      <c r="L115" s="14" t="n"/>
      <c r="M115" s="14" t="inlineStr">
        <is>
          <t>ok</t>
        </is>
      </c>
      <c r="N115" s="14" t="inlineStr">
        <is>
          <t>ok</t>
        </is>
      </c>
      <c r="O115" s="14" t="inlineStr">
        <is>
          <t>unsupported</t>
        </is>
      </c>
      <c r="P115" s="14" t="inlineStr">
        <is>
          <t>unsupported</t>
        </is>
      </c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inlineStr">
        <is>
          <t>NOT_EXPRESSIBLE</t>
        </is>
      </c>
      <c r="Z115" s="14" t="inlineStr">
        <is>
          <t>yes</t>
        </is>
      </c>
    </row>
    <row r="116">
      <c r="A116" s="14" t="inlineStr">
        <is>
          <t>hist</t>
        </is>
      </c>
      <c r="B116" s="14" t="inlineStr">
        <is>
          <t>scatter</t>
        </is>
      </c>
      <c r="C116" s="14" t="inlineStr">
        <is>
          <t>m</t>
        </is>
      </c>
      <c r="D116" s="14" t="inlineStr">
        <is>
          <t>max</t>
        </is>
      </c>
      <c r="E116" s="14" t="n">
        <v>65536</v>
      </c>
      <c r="F116" s="14" t="n">
        <v>0</v>
      </c>
      <c r="G116" s="14" t="n">
        <v>64</v>
      </c>
      <c r="H116" s="14" t="n">
        <v>128675</v>
      </c>
      <c r="I116" s="14" t="n">
        <v>128425</v>
      </c>
      <c r="J116" s="14" t="n"/>
      <c r="K116" s="14" t="n"/>
      <c r="L116" s="14" t="n"/>
      <c r="M116" s="14" t="inlineStr">
        <is>
          <t>ok</t>
        </is>
      </c>
      <c r="N116" s="14" t="inlineStr">
        <is>
          <t>ok</t>
        </is>
      </c>
      <c r="O116" s="14" t="inlineStr">
        <is>
          <t>unsupported</t>
        </is>
      </c>
      <c r="P116" s="14" t="inlineStr">
        <is>
          <t>unsupported</t>
        </is>
      </c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inlineStr">
        <is>
          <t>NOT_EXPRESSIBLE</t>
        </is>
      </c>
      <c r="Z116" s="14" t="inlineStr">
        <is>
          <t>yes</t>
        </is>
      </c>
    </row>
    <row r="117">
      <c r="A117" s="14" t="inlineStr">
        <is>
          <t>hist</t>
        </is>
      </c>
      <c r="B117" s="14" t="inlineStr">
        <is>
          <t>scatter</t>
        </is>
      </c>
      <c r="C117" s="14" t="inlineStr">
        <is>
          <t>m</t>
        </is>
      </c>
      <c r="D117" s="14" t="inlineStr">
        <is>
          <t>ramp</t>
        </is>
      </c>
      <c r="E117" s="14" t="n">
        <v>65536</v>
      </c>
      <c r="F117" s="14" t="n">
        <v>0</v>
      </c>
      <c r="G117" s="14" t="n">
        <v>64</v>
      </c>
      <c r="H117" s="14" t="n">
        <v>144956</v>
      </c>
      <c r="I117" s="14" t="n">
        <v>73681</v>
      </c>
      <c r="J117" s="14" t="n"/>
      <c r="K117" s="14" t="n"/>
      <c r="L117" s="14" t="n"/>
      <c r="M117" s="14" t="inlineStr">
        <is>
          <t>ok</t>
        </is>
      </c>
      <c r="N117" s="14" t="inlineStr">
        <is>
          <t>ok</t>
        </is>
      </c>
      <c r="O117" s="14" t="inlineStr">
        <is>
          <t>unsupported</t>
        </is>
      </c>
      <c r="P117" s="14" t="inlineStr">
        <is>
          <t>unsupported</t>
        </is>
      </c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inlineStr">
        <is>
          <t>NOT_EXPRESSIBLE</t>
        </is>
      </c>
      <c r="Z117" s="14" t="inlineStr">
        <is>
          <t>yes</t>
        </is>
      </c>
    </row>
    <row r="118">
      <c r="A118" s="14" t="inlineStr">
        <is>
          <t>hist</t>
        </is>
      </c>
      <c r="B118" s="14" t="inlineStr">
        <is>
          <t>scatter</t>
        </is>
      </c>
      <c r="C118" s="14" t="inlineStr">
        <is>
          <t>l</t>
        </is>
      </c>
      <c r="D118" s="14" t="inlineStr">
        <is>
          <t>hash</t>
        </is>
      </c>
      <c r="E118" s="14" t="n">
        <v>4194304</v>
      </c>
      <c r="F118" s="14" t="n">
        <v>0</v>
      </c>
      <c r="G118" s="14" t="n">
        <v>64</v>
      </c>
      <c r="H118" s="14" t="n">
        <v>8064900</v>
      </c>
      <c r="I118" s="14" t="n">
        <v>9977800</v>
      </c>
      <c r="J118" s="14" t="n"/>
      <c r="K118" s="14" t="n"/>
      <c r="L118" s="14" t="n"/>
      <c r="M118" s="14" t="inlineStr">
        <is>
          <t>ok</t>
        </is>
      </c>
      <c r="N118" s="14" t="inlineStr">
        <is>
          <t>ok</t>
        </is>
      </c>
      <c r="O118" s="14" t="inlineStr">
        <is>
          <t>unsupported</t>
        </is>
      </c>
      <c r="P118" s="14" t="inlineStr">
        <is>
          <t>unsupported</t>
        </is>
      </c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inlineStr">
        <is>
          <t>NOT_EXPRESSIBLE</t>
        </is>
      </c>
      <c r="Z118" s="14" t="inlineStr">
        <is>
          <t>yes</t>
        </is>
      </c>
    </row>
    <row r="119">
      <c r="A119" s="14" t="inlineStr">
        <is>
          <t>hist</t>
        </is>
      </c>
      <c r="B119" s="14" t="inlineStr">
        <is>
          <t>scatter</t>
        </is>
      </c>
      <c r="C119" s="14" t="inlineStr">
        <is>
          <t>l</t>
        </is>
      </c>
      <c r="D119" s="14" t="inlineStr">
        <is>
          <t>max</t>
        </is>
      </c>
      <c r="E119" s="14" t="n">
        <v>4194304</v>
      </c>
      <c r="F119" s="14" t="n">
        <v>0</v>
      </c>
      <c r="G119" s="14" t="n">
        <v>64</v>
      </c>
      <c r="H119" s="14" t="n">
        <v>8632600</v>
      </c>
      <c r="I119" s="14" t="n">
        <v>10103650</v>
      </c>
      <c r="J119" s="14" t="n"/>
      <c r="K119" s="14" t="n"/>
      <c r="L119" s="14" t="n"/>
      <c r="M119" s="14" t="inlineStr">
        <is>
          <t>ok</t>
        </is>
      </c>
      <c r="N119" s="14" t="inlineStr">
        <is>
          <t>ok</t>
        </is>
      </c>
      <c r="O119" s="14" t="inlineStr">
        <is>
          <t>unsupported</t>
        </is>
      </c>
      <c r="P119" s="14" t="inlineStr">
        <is>
          <t>unsupported</t>
        </is>
      </c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inlineStr">
        <is>
          <t>NOT_EXPRESSIBLE</t>
        </is>
      </c>
      <c r="Z119" s="14" t="inlineStr">
        <is>
          <t>yes</t>
        </is>
      </c>
    </row>
    <row r="120">
      <c r="A120" s="14" t="inlineStr">
        <is>
          <t>hist</t>
        </is>
      </c>
      <c r="B120" s="14" t="inlineStr">
        <is>
          <t>scatter</t>
        </is>
      </c>
      <c r="C120" s="14" t="inlineStr">
        <is>
          <t>l</t>
        </is>
      </c>
      <c r="D120" s="14" t="inlineStr">
        <is>
          <t>ramp</t>
        </is>
      </c>
      <c r="E120" s="14" t="n">
        <v>4194304</v>
      </c>
      <c r="F120" s="14" t="n">
        <v>0</v>
      </c>
      <c r="G120" s="14" t="n">
        <v>64</v>
      </c>
      <c r="H120" s="14" t="n">
        <v>5692300</v>
      </c>
      <c r="I120" s="14" t="n">
        <v>5816300</v>
      </c>
      <c r="J120" s="14" t="n"/>
      <c r="K120" s="14" t="n"/>
      <c r="L120" s="14" t="n"/>
      <c r="M120" s="14" t="inlineStr">
        <is>
          <t>ok</t>
        </is>
      </c>
      <c r="N120" s="14" t="inlineStr">
        <is>
          <t>ok</t>
        </is>
      </c>
      <c r="O120" s="14" t="inlineStr">
        <is>
          <t>unsupported</t>
        </is>
      </c>
      <c r="P120" s="14" t="inlineStr">
        <is>
          <t>unsupported</t>
        </is>
      </c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inlineStr">
        <is>
          <t>NOT_EXPRESSIBLE</t>
        </is>
      </c>
      <c r="Z120" s="14" t="inlineStr">
        <is>
          <t>yes</t>
        </is>
      </c>
    </row>
    <row r="121">
      <c r="A121" s="14" t="inlineStr">
        <is>
          <t>matmul</t>
        </is>
      </c>
      <c r="B121" s="14" t="inlineStr">
        <is>
          <t>dense-linear-algebra</t>
        </is>
      </c>
      <c r="C121" s="14" t="inlineStr">
        <is>
          <t>s</t>
        </is>
      </c>
      <c r="D121" s="14" t="inlineStr">
        <is>
          <t>hash</t>
        </is>
      </c>
      <c r="E121" s="14" t="n">
        <v>8</v>
      </c>
      <c r="F121" s="14" t="n">
        <v>0</v>
      </c>
      <c r="G121" s="14" t="n">
        <v>64</v>
      </c>
      <c r="H121" s="14" t="n">
        <v>346</v>
      </c>
      <c r="I121" s="14" t="n">
        <v>384</v>
      </c>
      <c r="J121" s="14" t="n"/>
      <c r="K121" s="14" t="n"/>
      <c r="L121" s="14" t="n"/>
      <c r="M121" s="14" t="inlineStr">
        <is>
          <t>ok</t>
        </is>
      </c>
      <c r="N121" s="14" t="inlineStr">
        <is>
          <t>ok</t>
        </is>
      </c>
      <c r="O121" s="14" t="inlineStr">
        <is>
          <t>unsupported</t>
        </is>
      </c>
      <c r="P121" s="14" t="inlineStr">
        <is>
          <t>unsupported</t>
        </is>
      </c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inlineStr">
        <is>
          <t>NOT_EXPRESSIBLE</t>
        </is>
      </c>
      <c r="Z121" s="14" t="inlineStr">
        <is>
          <t>yes</t>
        </is>
      </c>
    </row>
    <row r="122">
      <c r="A122" s="14" t="inlineStr">
        <is>
          <t>matmul</t>
        </is>
      </c>
      <c r="B122" s="14" t="inlineStr">
        <is>
          <t>dense-linear-algebra</t>
        </is>
      </c>
      <c r="C122" s="14" t="inlineStr">
        <is>
          <t>s</t>
        </is>
      </c>
      <c r="D122" s="14" t="inlineStr">
        <is>
          <t>max</t>
        </is>
      </c>
      <c r="E122" s="14" t="n">
        <v>8</v>
      </c>
      <c r="F122" s="14" t="n">
        <v>0</v>
      </c>
      <c r="G122" s="14" t="n">
        <v>64</v>
      </c>
      <c r="H122" s="14" t="n">
        <v>447</v>
      </c>
      <c r="I122" s="14" t="n">
        <v>498</v>
      </c>
      <c r="J122" s="14" t="n"/>
      <c r="K122" s="14" t="n"/>
      <c r="L122" s="14" t="n"/>
      <c r="M122" s="14" t="inlineStr">
        <is>
          <t>ok</t>
        </is>
      </c>
      <c r="N122" s="14" t="inlineStr">
        <is>
          <t>ok</t>
        </is>
      </c>
      <c r="O122" s="14" t="inlineStr">
        <is>
          <t>unsupported</t>
        </is>
      </c>
      <c r="P122" s="14" t="inlineStr">
        <is>
          <t>unsupported</t>
        </is>
      </c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inlineStr">
        <is>
          <t>NOT_EXPRESSIBLE</t>
        </is>
      </c>
      <c r="Z122" s="14" t="inlineStr">
        <is>
          <t>yes</t>
        </is>
      </c>
    </row>
    <row r="123">
      <c r="A123" s="14" t="inlineStr">
        <is>
          <t>matmul</t>
        </is>
      </c>
      <c r="B123" s="14" t="inlineStr">
        <is>
          <t>dense-linear-algebra</t>
        </is>
      </c>
      <c r="C123" s="14" t="inlineStr">
        <is>
          <t>s</t>
        </is>
      </c>
      <c r="D123" s="14" t="inlineStr">
        <is>
          <t>ramp</t>
        </is>
      </c>
      <c r="E123" s="14" t="n">
        <v>8</v>
      </c>
      <c r="F123" s="14" t="n">
        <v>0</v>
      </c>
      <c r="G123" s="14" t="n">
        <v>64</v>
      </c>
      <c r="H123" s="14" t="n">
        <v>502</v>
      </c>
      <c r="I123" s="14" t="n">
        <v>384</v>
      </c>
      <c r="J123" s="14" t="n"/>
      <c r="K123" s="14" t="n"/>
      <c r="L123" s="14" t="n"/>
      <c r="M123" s="14" t="inlineStr">
        <is>
          <t>ok</t>
        </is>
      </c>
      <c r="N123" s="14" t="inlineStr">
        <is>
          <t>ok</t>
        </is>
      </c>
      <c r="O123" s="14" t="inlineStr">
        <is>
          <t>unsupported</t>
        </is>
      </c>
      <c r="P123" s="14" t="inlineStr">
        <is>
          <t>unsupported</t>
        </is>
      </c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inlineStr">
        <is>
          <t>NOT_EXPRESSIBLE</t>
        </is>
      </c>
      <c r="Z123" s="14" t="inlineStr">
        <is>
          <t>yes</t>
        </is>
      </c>
    </row>
    <row r="124">
      <c r="A124" s="14" t="inlineStr">
        <is>
          <t>matmul</t>
        </is>
      </c>
      <c r="B124" s="14" t="inlineStr">
        <is>
          <t>dense-linear-algebra</t>
        </is>
      </c>
      <c r="C124" s="14" t="inlineStr">
        <is>
          <t>m</t>
        </is>
      </c>
      <c r="D124" s="14" t="inlineStr">
        <is>
          <t>hash</t>
        </is>
      </c>
      <c r="E124" s="14" t="n">
        <v>64</v>
      </c>
      <c r="F124" s="14" t="n">
        <v>0</v>
      </c>
      <c r="G124" s="14" t="n">
        <v>4096</v>
      </c>
      <c r="H124" s="14" t="n">
        <v>155312</v>
      </c>
      <c r="I124" s="14" t="n">
        <v>163787</v>
      </c>
      <c r="J124" s="14" t="n"/>
      <c r="K124" s="14" t="n"/>
      <c r="L124" s="14" t="n"/>
      <c r="M124" s="14" t="inlineStr">
        <is>
          <t>ok</t>
        </is>
      </c>
      <c r="N124" s="14" t="inlineStr">
        <is>
          <t>ok</t>
        </is>
      </c>
      <c r="O124" s="14" t="inlineStr">
        <is>
          <t>unsupported</t>
        </is>
      </c>
      <c r="P124" s="14" t="inlineStr">
        <is>
          <t>unsupported</t>
        </is>
      </c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inlineStr">
        <is>
          <t>NOT_EXPRESSIBLE</t>
        </is>
      </c>
      <c r="Z124" s="14" t="inlineStr">
        <is>
          <t>yes</t>
        </is>
      </c>
    </row>
    <row r="125">
      <c r="A125" s="14" t="inlineStr">
        <is>
          <t>matmul</t>
        </is>
      </c>
      <c r="B125" s="14" t="inlineStr">
        <is>
          <t>dense-linear-algebra</t>
        </is>
      </c>
      <c r="C125" s="14" t="inlineStr">
        <is>
          <t>m</t>
        </is>
      </c>
      <c r="D125" s="14" t="inlineStr">
        <is>
          <t>max</t>
        </is>
      </c>
      <c r="E125" s="14" t="n">
        <v>64</v>
      </c>
      <c r="F125" s="14" t="n">
        <v>0</v>
      </c>
      <c r="G125" s="14" t="n">
        <v>4096</v>
      </c>
      <c r="H125" s="14" t="n">
        <v>152075</v>
      </c>
      <c r="I125" s="14" t="n">
        <v>154987</v>
      </c>
      <c r="J125" s="14" t="n"/>
      <c r="K125" s="14" t="n"/>
      <c r="L125" s="14" t="n"/>
      <c r="M125" s="14" t="inlineStr">
        <is>
          <t>ok</t>
        </is>
      </c>
      <c r="N125" s="14" t="inlineStr">
        <is>
          <t>ok</t>
        </is>
      </c>
      <c r="O125" s="14" t="inlineStr">
        <is>
          <t>unsupported</t>
        </is>
      </c>
      <c r="P125" s="14" t="inlineStr">
        <is>
          <t>unsupported</t>
        </is>
      </c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inlineStr">
        <is>
          <t>NOT_EXPRESSIBLE</t>
        </is>
      </c>
      <c r="Z125" s="14" t="inlineStr">
        <is>
          <t>yes</t>
        </is>
      </c>
    </row>
    <row r="126">
      <c r="A126" s="14" t="inlineStr">
        <is>
          <t>matmul</t>
        </is>
      </c>
      <c r="B126" s="14" t="inlineStr">
        <is>
          <t>dense-linear-algebra</t>
        </is>
      </c>
      <c r="C126" s="14" t="inlineStr">
        <is>
          <t>m</t>
        </is>
      </c>
      <c r="D126" s="14" t="inlineStr">
        <is>
          <t>ramp</t>
        </is>
      </c>
      <c r="E126" s="14" t="n">
        <v>64</v>
      </c>
      <c r="F126" s="14" t="n">
        <v>0</v>
      </c>
      <c r="G126" s="14" t="n">
        <v>4096</v>
      </c>
      <c r="H126" s="14" t="n">
        <v>162337</v>
      </c>
      <c r="I126" s="14" t="n">
        <v>161912</v>
      </c>
      <c r="J126" s="14" t="n"/>
      <c r="K126" s="14" t="n"/>
      <c r="L126" s="14" t="n"/>
      <c r="M126" s="14" t="inlineStr">
        <is>
          <t>ok</t>
        </is>
      </c>
      <c r="N126" s="14" t="inlineStr">
        <is>
          <t>ok</t>
        </is>
      </c>
      <c r="O126" s="14" t="inlineStr">
        <is>
          <t>unsupported</t>
        </is>
      </c>
      <c r="P126" s="14" t="inlineStr">
        <is>
          <t>unsupported</t>
        </is>
      </c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inlineStr">
        <is>
          <t>NOT_EXPRESSIBLE</t>
        </is>
      </c>
      <c r="Z126" s="14" t="inlineStr">
        <is>
          <t>yes</t>
        </is>
      </c>
    </row>
    <row r="127">
      <c r="A127" s="14" t="inlineStr">
        <is>
          <t>matmul</t>
        </is>
      </c>
      <c r="B127" s="14" t="inlineStr">
        <is>
          <t>dense-linear-algebra</t>
        </is>
      </c>
      <c r="C127" s="14" t="inlineStr">
        <is>
          <t>l</t>
        </is>
      </c>
      <c r="D127" s="14" t="inlineStr">
        <is>
          <t>hash</t>
        </is>
      </c>
      <c r="E127" s="14" t="n">
        <v>256</v>
      </c>
      <c r="F127" s="14" t="n">
        <v>0</v>
      </c>
      <c r="G127" s="14" t="n">
        <v>65536</v>
      </c>
      <c r="H127" s="14" t="n">
        <v>10531200</v>
      </c>
      <c r="I127" s="14" t="n">
        <v>10504900</v>
      </c>
      <c r="J127" s="14" t="n"/>
      <c r="K127" s="14" t="n"/>
      <c r="L127" s="14" t="n"/>
      <c r="M127" s="14" t="inlineStr">
        <is>
          <t>ok</t>
        </is>
      </c>
      <c r="N127" s="14" t="inlineStr">
        <is>
          <t>ok</t>
        </is>
      </c>
      <c r="O127" s="14" t="inlineStr">
        <is>
          <t>unsupported</t>
        </is>
      </c>
      <c r="P127" s="14" t="inlineStr">
        <is>
          <t>unsupported</t>
        </is>
      </c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inlineStr">
        <is>
          <t>NOT_EXPRESSIBLE</t>
        </is>
      </c>
      <c r="Z127" s="14" t="inlineStr">
        <is>
          <t>yes</t>
        </is>
      </c>
    </row>
    <row r="128">
      <c r="A128" s="14" t="inlineStr">
        <is>
          <t>matmul</t>
        </is>
      </c>
      <c r="B128" s="14" t="inlineStr">
        <is>
          <t>dense-linear-algebra</t>
        </is>
      </c>
      <c r="C128" s="14" t="inlineStr">
        <is>
          <t>l</t>
        </is>
      </c>
      <c r="D128" s="14" t="inlineStr">
        <is>
          <t>max</t>
        </is>
      </c>
      <c r="E128" s="14" t="n">
        <v>256</v>
      </c>
      <c r="F128" s="14" t="n">
        <v>0</v>
      </c>
      <c r="G128" s="14" t="n">
        <v>65536</v>
      </c>
      <c r="H128" s="14" t="n">
        <v>9638400</v>
      </c>
      <c r="I128" s="14" t="n">
        <v>10239500</v>
      </c>
      <c r="J128" s="14" t="n"/>
      <c r="K128" s="14" t="n"/>
      <c r="L128" s="14" t="n"/>
      <c r="M128" s="14" t="inlineStr">
        <is>
          <t>ok</t>
        </is>
      </c>
      <c r="N128" s="14" t="inlineStr">
        <is>
          <t>ok</t>
        </is>
      </c>
      <c r="O128" s="14" t="inlineStr">
        <is>
          <t>unsupported</t>
        </is>
      </c>
      <c r="P128" s="14" t="inlineStr">
        <is>
          <t>unsupported</t>
        </is>
      </c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inlineStr">
        <is>
          <t>NOT_EXPRESSIBLE</t>
        </is>
      </c>
      <c r="Z128" s="14" t="inlineStr">
        <is>
          <t>yes</t>
        </is>
      </c>
    </row>
    <row r="129">
      <c r="A129" s="14" t="inlineStr">
        <is>
          <t>matmul</t>
        </is>
      </c>
      <c r="B129" s="14" t="inlineStr">
        <is>
          <t>dense-linear-algebra</t>
        </is>
      </c>
      <c r="C129" s="14" t="inlineStr">
        <is>
          <t>l</t>
        </is>
      </c>
      <c r="D129" s="14" t="inlineStr">
        <is>
          <t>ramp</t>
        </is>
      </c>
      <c r="E129" s="14" t="n">
        <v>256</v>
      </c>
      <c r="F129" s="14" t="n">
        <v>0</v>
      </c>
      <c r="G129" s="14" t="n">
        <v>65536</v>
      </c>
      <c r="H129" s="14" t="n">
        <v>9926350</v>
      </c>
      <c r="I129" s="14" t="n">
        <v>12600700</v>
      </c>
      <c r="J129" s="14" t="n"/>
      <c r="K129" s="14" t="n"/>
      <c r="L129" s="14" t="n"/>
      <c r="M129" s="14" t="inlineStr">
        <is>
          <t>ok</t>
        </is>
      </c>
      <c r="N129" s="14" t="inlineStr">
        <is>
          <t>ok</t>
        </is>
      </c>
      <c r="O129" s="14" t="inlineStr">
        <is>
          <t>unsupported</t>
        </is>
      </c>
      <c r="P129" s="14" t="inlineStr">
        <is>
          <t>unsupported</t>
        </is>
      </c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inlineStr">
        <is>
          <t>NOT_EXPRESSIBLE</t>
        </is>
      </c>
      <c r="Z129" s="14" t="inlineStr">
        <is>
          <t>yes</t>
        </is>
      </c>
    </row>
  </sheetData>
  <autoFilter ref="A3:Z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2026-10-19T01:15:23Z</dcterms:created>
  <dcterms:modified xmlns:dcterms="http://purl.org/dc/terms/" xmlns:xsi="http://www.w3.org/2001/XMLSchema-instance" xsi:type="dcterms:W3CDTF">2026-10-19T01:15:24Z</dcterms:modified>
</cp:coreProperties>
</file>